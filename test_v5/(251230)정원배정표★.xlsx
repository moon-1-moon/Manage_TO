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13_ncr:1_{173B0453-DE3A-44E1-A267-7D8F530DC6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(251230)정원배정표(본부)" sheetId="1" r:id="rId1"/>
    <sheet name="(251230)정원배정표(소속)" sheetId="4" r:id="rId2"/>
  </sheets>
  <definedNames>
    <definedName name="_xlnm._FilterDatabase" localSheetId="0" hidden="1">'(251230)정원배정표(본부)'!$A$8:$BZ$8</definedName>
    <definedName name="_xlnm._FilterDatabase" localSheetId="1" hidden="1">'(251230)정원배정표(소속)'!$A$8:$BZ$8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83" i="4" l="1"/>
  <c r="Q683" i="4"/>
  <c r="P683" i="4" s="1"/>
  <c r="R682" i="4"/>
  <c r="Q682" i="4"/>
  <c r="R681" i="4"/>
  <c r="Q681" i="4"/>
  <c r="R680" i="4"/>
  <c r="Q680" i="4"/>
  <c r="R678" i="4"/>
  <c r="Q678" i="4"/>
  <c r="R677" i="4"/>
  <c r="Q677" i="4"/>
  <c r="R676" i="4"/>
  <c r="Q676" i="4"/>
  <c r="R674" i="4"/>
  <c r="Q674" i="4"/>
  <c r="R673" i="4"/>
  <c r="Q673" i="4"/>
  <c r="R672" i="4"/>
  <c r="Q672" i="4"/>
  <c r="R670" i="4"/>
  <c r="Q670" i="4"/>
  <c r="R669" i="4"/>
  <c r="Q669" i="4"/>
  <c r="R667" i="4"/>
  <c r="Q667" i="4"/>
  <c r="R666" i="4"/>
  <c r="Q666" i="4"/>
  <c r="R664" i="4"/>
  <c r="Q664" i="4"/>
  <c r="R663" i="4"/>
  <c r="Q663" i="4"/>
  <c r="R661" i="4"/>
  <c r="Q661" i="4"/>
  <c r="R660" i="4"/>
  <c r="Q660" i="4"/>
  <c r="R658" i="4"/>
  <c r="Q658" i="4"/>
  <c r="R657" i="4"/>
  <c r="Q657" i="4"/>
  <c r="R655" i="4"/>
  <c r="Q655" i="4"/>
  <c r="R654" i="4"/>
  <c r="Q654" i="4"/>
  <c r="R653" i="4"/>
  <c r="Q653" i="4"/>
  <c r="R651" i="4"/>
  <c r="Q651" i="4"/>
  <c r="R649" i="4"/>
  <c r="Q649" i="4"/>
  <c r="R648" i="4"/>
  <c r="Q648" i="4"/>
  <c r="R647" i="4"/>
  <c r="Q647" i="4"/>
  <c r="R645" i="4"/>
  <c r="Q645" i="4"/>
  <c r="R643" i="4"/>
  <c r="Q643" i="4"/>
  <c r="R642" i="4"/>
  <c r="Q642" i="4"/>
  <c r="R641" i="4"/>
  <c r="Q641" i="4"/>
  <c r="R639" i="4"/>
  <c r="Q639" i="4"/>
  <c r="R637" i="4"/>
  <c r="Q637" i="4"/>
  <c r="R636" i="4"/>
  <c r="Q636" i="4"/>
  <c r="R635" i="4"/>
  <c r="Q635" i="4"/>
  <c r="R633" i="4"/>
  <c r="Q633" i="4"/>
  <c r="R631" i="4"/>
  <c r="Q631" i="4"/>
  <c r="R630" i="4"/>
  <c r="Q630" i="4"/>
  <c r="R629" i="4"/>
  <c r="Q629" i="4"/>
  <c r="R628" i="4"/>
  <c r="Q628" i="4"/>
  <c r="R627" i="4"/>
  <c r="Q627" i="4"/>
  <c r="R625" i="4"/>
  <c r="Q625" i="4"/>
  <c r="R624" i="4"/>
  <c r="Q624" i="4"/>
  <c r="R622" i="4"/>
  <c r="Q622" i="4"/>
  <c r="R621" i="4"/>
  <c r="Q621" i="4"/>
  <c r="R620" i="4"/>
  <c r="Q620" i="4"/>
  <c r="R619" i="4"/>
  <c r="Q619" i="4"/>
  <c r="R618" i="4"/>
  <c r="Q618" i="4"/>
  <c r="R617" i="4"/>
  <c r="Q617" i="4"/>
  <c r="R616" i="4"/>
  <c r="Q616" i="4"/>
  <c r="R615" i="4"/>
  <c r="Q615" i="4"/>
  <c r="R613" i="4"/>
  <c r="Q613" i="4"/>
  <c r="R612" i="4"/>
  <c r="Q612" i="4"/>
  <c r="R610" i="4"/>
  <c r="Q610" i="4"/>
  <c r="R609" i="4"/>
  <c r="Q609" i="4"/>
  <c r="R608" i="4"/>
  <c r="Q608" i="4"/>
  <c r="R606" i="4"/>
  <c r="Q606" i="4"/>
  <c r="R605" i="4"/>
  <c r="Q605" i="4"/>
  <c r="R603" i="4"/>
  <c r="Q603" i="4"/>
  <c r="R602" i="4"/>
  <c r="Q602" i="4"/>
  <c r="R601" i="4"/>
  <c r="Q601" i="4"/>
  <c r="R600" i="4"/>
  <c r="Q600" i="4"/>
  <c r="R599" i="4"/>
  <c r="Q599" i="4"/>
  <c r="R598" i="4"/>
  <c r="Q598" i="4"/>
  <c r="R597" i="4"/>
  <c r="Q597" i="4"/>
  <c r="R595" i="4"/>
  <c r="Q595" i="4"/>
  <c r="R594" i="4"/>
  <c r="Q594" i="4"/>
  <c r="R592" i="4"/>
  <c r="Q592" i="4"/>
  <c r="R591" i="4"/>
  <c r="Q591" i="4"/>
  <c r="R589" i="4"/>
  <c r="Q589" i="4"/>
  <c r="R588" i="4"/>
  <c r="Q588" i="4"/>
  <c r="R587" i="4"/>
  <c r="Q587" i="4"/>
  <c r="R586" i="4"/>
  <c r="Q586" i="4"/>
  <c r="R585" i="4"/>
  <c r="Q585" i="4"/>
  <c r="R584" i="4"/>
  <c r="Q584" i="4"/>
  <c r="R582" i="4"/>
  <c r="Q582" i="4"/>
  <c r="R581" i="4"/>
  <c r="Q581" i="4"/>
  <c r="R580" i="4"/>
  <c r="Q580" i="4"/>
  <c r="R579" i="4"/>
  <c r="Q579" i="4"/>
  <c r="R578" i="4"/>
  <c r="Q578" i="4"/>
  <c r="R577" i="4"/>
  <c r="Q577" i="4"/>
  <c r="R576" i="4"/>
  <c r="Q576" i="4"/>
  <c r="R574" i="4"/>
  <c r="Q574" i="4"/>
  <c r="R573" i="4"/>
  <c r="Q573" i="4"/>
  <c r="R572" i="4"/>
  <c r="Q572" i="4"/>
  <c r="R571" i="4"/>
  <c r="Q571" i="4"/>
  <c r="R570" i="4"/>
  <c r="Q570" i="4"/>
  <c r="R569" i="4"/>
  <c r="Q569" i="4"/>
  <c r="R568" i="4"/>
  <c r="Q568" i="4"/>
  <c r="R567" i="4"/>
  <c r="Q567" i="4"/>
  <c r="R566" i="4"/>
  <c r="Q566" i="4"/>
  <c r="R564" i="4"/>
  <c r="Q564" i="4"/>
  <c r="R563" i="4"/>
  <c r="Q563" i="4"/>
  <c r="R562" i="4"/>
  <c r="Q562" i="4"/>
  <c r="R561" i="4"/>
  <c r="Q561" i="4"/>
  <c r="R560" i="4"/>
  <c r="Q560" i="4"/>
  <c r="R559" i="4"/>
  <c r="Q559" i="4"/>
  <c r="R558" i="4"/>
  <c r="Q558" i="4"/>
  <c r="R557" i="4"/>
  <c r="Q557" i="4"/>
  <c r="R556" i="4"/>
  <c r="Q556" i="4"/>
  <c r="R555" i="4"/>
  <c r="Q555" i="4"/>
  <c r="R554" i="4"/>
  <c r="Q554" i="4"/>
  <c r="R553" i="4"/>
  <c r="Q553" i="4"/>
  <c r="R551" i="4"/>
  <c r="Q551" i="4"/>
  <c r="R550" i="4"/>
  <c r="Q550" i="4"/>
  <c r="R549" i="4"/>
  <c r="Q549" i="4"/>
  <c r="R548" i="4"/>
  <c r="Q548" i="4"/>
  <c r="R547" i="4"/>
  <c r="Q547" i="4"/>
  <c r="R546" i="4"/>
  <c r="Q546" i="4"/>
  <c r="R545" i="4"/>
  <c r="Q545" i="4"/>
  <c r="R544" i="4"/>
  <c r="Q544" i="4"/>
  <c r="R543" i="4"/>
  <c r="Q543" i="4"/>
  <c r="R542" i="4"/>
  <c r="Q542" i="4"/>
  <c r="R541" i="4"/>
  <c r="Q541" i="4"/>
  <c r="R539" i="4"/>
  <c r="Q539" i="4"/>
  <c r="R538" i="4"/>
  <c r="Q538" i="4"/>
  <c r="R537" i="4"/>
  <c r="Q537" i="4"/>
  <c r="R536" i="4"/>
  <c r="Q536" i="4"/>
  <c r="R535" i="4"/>
  <c r="Q535" i="4"/>
  <c r="R534" i="4"/>
  <c r="Q534" i="4"/>
  <c r="R533" i="4"/>
  <c r="Q533" i="4"/>
  <c r="R532" i="4"/>
  <c r="Q532" i="4"/>
  <c r="R531" i="4"/>
  <c r="Q531" i="4"/>
  <c r="R530" i="4"/>
  <c r="Q530" i="4"/>
  <c r="R529" i="4"/>
  <c r="Q529" i="4"/>
  <c r="R528" i="4"/>
  <c r="Q528" i="4"/>
  <c r="R527" i="4"/>
  <c r="Q527" i="4"/>
  <c r="R526" i="4"/>
  <c r="Q526" i="4"/>
  <c r="R525" i="4"/>
  <c r="Q525" i="4"/>
  <c r="R524" i="4"/>
  <c r="Q524" i="4"/>
  <c r="R523" i="4"/>
  <c r="Q523" i="4"/>
  <c r="R522" i="4"/>
  <c r="Q522" i="4"/>
  <c r="R521" i="4"/>
  <c r="Q521" i="4"/>
  <c r="R520" i="4"/>
  <c r="Q520" i="4"/>
  <c r="R518" i="4"/>
  <c r="Q518" i="4"/>
  <c r="R516" i="4"/>
  <c r="Q516" i="4"/>
  <c r="R515" i="4"/>
  <c r="Q515" i="4"/>
  <c r="R514" i="4"/>
  <c r="Q514" i="4"/>
  <c r="R513" i="4"/>
  <c r="Q513" i="4"/>
  <c r="R512" i="4"/>
  <c r="Q512" i="4"/>
  <c r="R511" i="4"/>
  <c r="Q511" i="4"/>
  <c r="R510" i="4"/>
  <c r="Q510" i="4"/>
  <c r="R509" i="4"/>
  <c r="Q509" i="4"/>
  <c r="R508" i="4"/>
  <c r="Q508" i="4"/>
  <c r="R507" i="4"/>
  <c r="Q507" i="4"/>
  <c r="R505" i="4"/>
  <c r="Q505" i="4"/>
  <c r="R504" i="4"/>
  <c r="Q504" i="4"/>
  <c r="R503" i="4"/>
  <c r="Q503" i="4"/>
  <c r="R502" i="4"/>
  <c r="Q502" i="4"/>
  <c r="R501" i="4"/>
  <c r="Q501" i="4"/>
  <c r="R500" i="4"/>
  <c r="Q500" i="4"/>
  <c r="R499" i="4"/>
  <c r="Q499" i="4"/>
  <c r="R498" i="4"/>
  <c r="Q498" i="4"/>
  <c r="R496" i="4"/>
  <c r="Q496" i="4"/>
  <c r="R495" i="4"/>
  <c r="Q495" i="4"/>
  <c r="R494" i="4"/>
  <c r="Q494" i="4"/>
  <c r="R493" i="4"/>
  <c r="Q493" i="4"/>
  <c r="R492" i="4"/>
  <c r="Q492" i="4"/>
  <c r="R491" i="4"/>
  <c r="Q491" i="4"/>
  <c r="R490" i="4"/>
  <c r="Q490" i="4"/>
  <c r="R488" i="4"/>
  <c r="Q488" i="4"/>
  <c r="R487" i="4"/>
  <c r="Q487" i="4"/>
  <c r="R486" i="4"/>
  <c r="Q486" i="4"/>
  <c r="R485" i="4"/>
  <c r="Q485" i="4"/>
  <c r="R484" i="4"/>
  <c r="Q484" i="4"/>
  <c r="R483" i="4"/>
  <c r="Q483" i="4"/>
  <c r="R482" i="4"/>
  <c r="Q482" i="4"/>
  <c r="R480" i="4"/>
  <c r="Q480" i="4"/>
  <c r="R479" i="4"/>
  <c r="Q479" i="4"/>
  <c r="R478" i="4"/>
  <c r="Q478" i="4"/>
  <c r="R477" i="4"/>
  <c r="Q477" i="4"/>
  <c r="R476" i="4"/>
  <c r="Q476" i="4"/>
  <c r="R475" i="4"/>
  <c r="Q475" i="4"/>
  <c r="R474" i="4"/>
  <c r="Q474" i="4"/>
  <c r="R473" i="4"/>
  <c r="Q473" i="4"/>
  <c r="R472" i="4"/>
  <c r="Q472" i="4"/>
  <c r="R471" i="4"/>
  <c r="Q471" i="4"/>
  <c r="R470" i="4"/>
  <c r="Q470" i="4"/>
  <c r="R469" i="4"/>
  <c r="Q469" i="4"/>
  <c r="R467" i="4"/>
  <c r="Q467" i="4"/>
  <c r="R466" i="4"/>
  <c r="Q466" i="4"/>
  <c r="R465" i="4"/>
  <c r="Q465" i="4"/>
  <c r="R464" i="4"/>
  <c r="Q464" i="4"/>
  <c r="R463" i="4"/>
  <c r="Q463" i="4"/>
  <c r="R462" i="4"/>
  <c r="Q462" i="4"/>
  <c r="R461" i="4"/>
  <c r="Q461" i="4"/>
  <c r="R460" i="4"/>
  <c r="Q460" i="4"/>
  <c r="R459" i="4"/>
  <c r="Q459" i="4"/>
  <c r="R458" i="4"/>
  <c r="Q458" i="4"/>
  <c r="R457" i="4"/>
  <c r="Q457" i="4"/>
  <c r="R456" i="4"/>
  <c r="Q456" i="4"/>
  <c r="R455" i="4"/>
  <c r="Q455" i="4"/>
  <c r="R454" i="4"/>
  <c r="Q454" i="4"/>
  <c r="R453" i="4"/>
  <c r="Q453" i="4"/>
  <c r="R452" i="4"/>
  <c r="Q452" i="4"/>
  <c r="R451" i="4"/>
  <c r="Q451" i="4"/>
  <c r="R450" i="4"/>
  <c r="Q450" i="4"/>
  <c r="R449" i="4"/>
  <c r="Q449" i="4"/>
  <c r="R448" i="4"/>
  <c r="Q448" i="4"/>
  <c r="R446" i="4"/>
  <c r="Q446" i="4"/>
  <c r="R444" i="4"/>
  <c r="Q444" i="4"/>
  <c r="R443" i="4"/>
  <c r="Q443" i="4"/>
  <c r="R442" i="4"/>
  <c r="Q442" i="4"/>
  <c r="R441" i="4"/>
  <c r="Q441" i="4"/>
  <c r="R440" i="4"/>
  <c r="Q440" i="4"/>
  <c r="R438" i="4"/>
  <c r="Q438" i="4"/>
  <c r="R437" i="4"/>
  <c r="Q437" i="4"/>
  <c r="R436" i="4"/>
  <c r="Q436" i="4"/>
  <c r="R435" i="4"/>
  <c r="Q435" i="4"/>
  <c r="R434" i="4"/>
  <c r="Q434" i="4"/>
  <c r="R433" i="4"/>
  <c r="Q433" i="4"/>
  <c r="R431" i="4"/>
  <c r="Q431" i="4"/>
  <c r="R430" i="4"/>
  <c r="Q430" i="4"/>
  <c r="R429" i="4"/>
  <c r="Q429" i="4"/>
  <c r="R428" i="4"/>
  <c r="Q428" i="4"/>
  <c r="R427" i="4"/>
  <c r="Q427" i="4"/>
  <c r="R426" i="4"/>
  <c r="Q426" i="4"/>
  <c r="R425" i="4"/>
  <c r="Q425" i="4"/>
  <c r="R424" i="4"/>
  <c r="Q424" i="4"/>
  <c r="R422" i="4"/>
  <c r="Q422" i="4"/>
  <c r="R421" i="4"/>
  <c r="Q421" i="4"/>
  <c r="R420" i="4"/>
  <c r="Q420" i="4"/>
  <c r="R419" i="4"/>
  <c r="Q419" i="4"/>
  <c r="R418" i="4"/>
  <c r="Q418" i="4"/>
  <c r="R417" i="4"/>
  <c r="Q417" i="4"/>
  <c r="R416" i="4"/>
  <c r="Q416" i="4"/>
  <c r="R415" i="4"/>
  <c r="Q415" i="4"/>
  <c r="R414" i="4"/>
  <c r="Q414" i="4"/>
  <c r="R413" i="4"/>
  <c r="Q413" i="4"/>
  <c r="R412" i="4"/>
  <c r="Q412" i="4"/>
  <c r="R410" i="4"/>
  <c r="Q410" i="4"/>
  <c r="R409" i="4"/>
  <c r="Q409" i="4"/>
  <c r="R408" i="4"/>
  <c r="Q408" i="4"/>
  <c r="R407" i="4"/>
  <c r="Q407" i="4"/>
  <c r="R406" i="4"/>
  <c r="Q406" i="4"/>
  <c r="R405" i="4"/>
  <c r="Q405" i="4"/>
  <c r="R404" i="4"/>
  <c r="Q404" i="4"/>
  <c r="R403" i="4"/>
  <c r="Q403" i="4"/>
  <c r="R402" i="4"/>
  <c r="Q402" i="4"/>
  <c r="R401" i="4"/>
  <c r="Q401" i="4"/>
  <c r="R399" i="4"/>
  <c r="Q399" i="4"/>
  <c r="R398" i="4"/>
  <c r="Q398" i="4"/>
  <c r="R397" i="4"/>
  <c r="Q397" i="4"/>
  <c r="R396" i="4"/>
  <c r="Q396" i="4"/>
  <c r="R395" i="4"/>
  <c r="Q395" i="4"/>
  <c r="R394" i="4"/>
  <c r="Q394" i="4"/>
  <c r="R393" i="4"/>
  <c r="Q393" i="4"/>
  <c r="R392" i="4"/>
  <c r="Q392" i="4"/>
  <c r="R391" i="4"/>
  <c r="Q391" i="4"/>
  <c r="R390" i="4"/>
  <c r="Q390" i="4"/>
  <c r="R389" i="4"/>
  <c r="Q389" i="4"/>
  <c r="R388" i="4"/>
  <c r="Q388" i="4"/>
  <c r="R387" i="4"/>
  <c r="Q387" i="4"/>
  <c r="R386" i="4"/>
  <c r="Q386" i="4"/>
  <c r="R385" i="4"/>
  <c r="Q385" i="4"/>
  <c r="R384" i="4"/>
  <c r="Q384" i="4"/>
  <c r="R383" i="4"/>
  <c r="Q383" i="4"/>
  <c r="R382" i="4"/>
  <c r="Q382" i="4"/>
  <c r="R381" i="4"/>
  <c r="Q381" i="4"/>
  <c r="R380" i="4"/>
  <c r="Q380" i="4"/>
  <c r="R378" i="4"/>
  <c r="Q378" i="4"/>
  <c r="R376" i="4"/>
  <c r="Q376" i="4"/>
  <c r="R375" i="4"/>
  <c r="Q375" i="4"/>
  <c r="R374" i="4"/>
  <c r="Q374" i="4"/>
  <c r="R373" i="4"/>
  <c r="Q373" i="4"/>
  <c r="R372" i="4"/>
  <c r="Q372" i="4"/>
  <c r="R371" i="4"/>
  <c r="Q371" i="4"/>
  <c r="R370" i="4"/>
  <c r="Q370" i="4"/>
  <c r="R368" i="4"/>
  <c r="Q368" i="4"/>
  <c r="R367" i="4"/>
  <c r="Q367" i="4"/>
  <c r="R366" i="4"/>
  <c r="Q366" i="4"/>
  <c r="R365" i="4"/>
  <c r="Q365" i="4"/>
  <c r="R364" i="4"/>
  <c r="Q364" i="4"/>
  <c r="R363" i="4"/>
  <c r="Q363" i="4"/>
  <c r="R362" i="4"/>
  <c r="Q362" i="4"/>
  <c r="R361" i="4"/>
  <c r="Q361" i="4"/>
  <c r="R360" i="4"/>
  <c r="Q360" i="4"/>
  <c r="R358" i="4"/>
  <c r="Q358" i="4"/>
  <c r="R357" i="4"/>
  <c r="Q357" i="4"/>
  <c r="R356" i="4"/>
  <c r="Q356" i="4"/>
  <c r="R355" i="4"/>
  <c r="Q355" i="4"/>
  <c r="R354" i="4"/>
  <c r="Q354" i="4"/>
  <c r="R353" i="4"/>
  <c r="Q353" i="4"/>
  <c r="R352" i="4"/>
  <c r="Q352" i="4"/>
  <c r="R351" i="4"/>
  <c r="Q351" i="4"/>
  <c r="R350" i="4"/>
  <c r="Q350" i="4"/>
  <c r="R349" i="4"/>
  <c r="Q349" i="4"/>
  <c r="R347" i="4"/>
  <c r="Q347" i="4"/>
  <c r="R346" i="4"/>
  <c r="Q346" i="4"/>
  <c r="R345" i="4"/>
  <c r="Q345" i="4"/>
  <c r="R344" i="4"/>
  <c r="Q344" i="4"/>
  <c r="R343" i="4"/>
  <c r="Q343" i="4"/>
  <c r="R342" i="4"/>
  <c r="Q342" i="4"/>
  <c r="R341" i="4"/>
  <c r="Q341" i="4"/>
  <c r="R340" i="4"/>
  <c r="Q340" i="4"/>
  <c r="R339" i="4"/>
  <c r="Q339" i="4"/>
  <c r="R338" i="4"/>
  <c r="Q338" i="4"/>
  <c r="R337" i="4"/>
  <c r="Q337" i="4"/>
  <c r="R336" i="4"/>
  <c r="Q336" i="4"/>
  <c r="R334" i="4"/>
  <c r="Q334" i="4"/>
  <c r="R333" i="4"/>
  <c r="Q333" i="4"/>
  <c r="R332" i="4"/>
  <c r="Q332" i="4"/>
  <c r="R331" i="4"/>
  <c r="Q331" i="4"/>
  <c r="R330" i="4"/>
  <c r="Q330" i="4"/>
  <c r="R329" i="4"/>
  <c r="Q329" i="4"/>
  <c r="R328" i="4"/>
  <c r="Q328" i="4"/>
  <c r="R327" i="4"/>
  <c r="Q327" i="4"/>
  <c r="R326" i="4"/>
  <c r="Q326" i="4"/>
  <c r="R325" i="4"/>
  <c r="Q325" i="4"/>
  <c r="R324" i="4"/>
  <c r="Q324" i="4"/>
  <c r="R322" i="4"/>
  <c r="Q322" i="4"/>
  <c r="R321" i="4"/>
  <c r="Q321" i="4"/>
  <c r="R320" i="4"/>
  <c r="Q320" i="4"/>
  <c r="R319" i="4"/>
  <c r="Q319" i="4"/>
  <c r="R318" i="4"/>
  <c r="Q318" i="4"/>
  <c r="R317" i="4"/>
  <c r="Q317" i="4"/>
  <c r="R315" i="4"/>
  <c r="Q315" i="4"/>
  <c r="R314" i="4"/>
  <c r="Q314" i="4"/>
  <c r="R313" i="4"/>
  <c r="Q313" i="4"/>
  <c r="R312" i="4"/>
  <c r="Q312" i="4"/>
  <c r="R311" i="4"/>
  <c r="Q311" i="4"/>
  <c r="R310" i="4"/>
  <c r="Q310" i="4"/>
  <c r="R309" i="4"/>
  <c r="Q309" i="4"/>
  <c r="R308" i="4"/>
  <c r="Q308" i="4"/>
  <c r="R306" i="4"/>
  <c r="Q306" i="4"/>
  <c r="R305" i="4"/>
  <c r="Q305" i="4"/>
  <c r="R304" i="4"/>
  <c r="Q304" i="4"/>
  <c r="R303" i="4"/>
  <c r="Q303" i="4"/>
  <c r="R302" i="4"/>
  <c r="Q302" i="4"/>
  <c r="R301" i="4"/>
  <c r="Q301" i="4"/>
  <c r="R300" i="4"/>
  <c r="Q300" i="4"/>
  <c r="R299" i="4"/>
  <c r="Q299" i="4"/>
  <c r="R298" i="4"/>
  <c r="Q298" i="4"/>
  <c r="R297" i="4"/>
  <c r="Q297" i="4"/>
  <c r="R296" i="4"/>
  <c r="Q296" i="4"/>
  <c r="R295" i="4"/>
  <c r="Q295" i="4"/>
  <c r="R294" i="4"/>
  <c r="Q294" i="4"/>
  <c r="R293" i="4"/>
  <c r="Q293" i="4"/>
  <c r="R292" i="4"/>
  <c r="Q292" i="4"/>
  <c r="R291" i="4"/>
  <c r="Q291" i="4"/>
  <c r="R290" i="4"/>
  <c r="Q290" i="4"/>
  <c r="R289" i="4"/>
  <c r="Q289" i="4"/>
  <c r="R287" i="4"/>
  <c r="Q287" i="4"/>
  <c r="R285" i="4"/>
  <c r="Q285" i="4"/>
  <c r="R284" i="4"/>
  <c r="Q284" i="4"/>
  <c r="R283" i="4"/>
  <c r="Q283" i="4"/>
  <c r="R282" i="4"/>
  <c r="Q282" i="4"/>
  <c r="R281" i="4"/>
  <c r="Q281" i="4"/>
  <c r="R279" i="4"/>
  <c r="Q279" i="4"/>
  <c r="R278" i="4"/>
  <c r="Q278" i="4"/>
  <c r="R277" i="4"/>
  <c r="Q277" i="4"/>
  <c r="R276" i="4"/>
  <c r="Q276" i="4"/>
  <c r="R275" i="4"/>
  <c r="Q275" i="4"/>
  <c r="R274" i="4"/>
  <c r="Q274" i="4"/>
  <c r="R272" i="4"/>
  <c r="Q272" i="4"/>
  <c r="R271" i="4"/>
  <c r="Q271" i="4"/>
  <c r="R270" i="4"/>
  <c r="Q270" i="4"/>
  <c r="R269" i="4"/>
  <c r="Q269" i="4"/>
  <c r="R268" i="4"/>
  <c r="Q268" i="4"/>
  <c r="R267" i="4"/>
  <c r="Q267" i="4"/>
  <c r="R265" i="4"/>
  <c r="Q265" i="4"/>
  <c r="R264" i="4"/>
  <c r="Q264" i="4"/>
  <c r="R263" i="4"/>
  <c r="Q263" i="4"/>
  <c r="R262" i="4"/>
  <c r="Q262" i="4"/>
  <c r="R261" i="4"/>
  <c r="Q261" i="4"/>
  <c r="R260" i="4"/>
  <c r="Q260" i="4"/>
  <c r="R259" i="4"/>
  <c r="Q259" i="4"/>
  <c r="R258" i="4"/>
  <c r="Q258" i="4"/>
  <c r="R256" i="4"/>
  <c r="Q256" i="4"/>
  <c r="R255" i="4"/>
  <c r="Q255" i="4"/>
  <c r="R254" i="4"/>
  <c r="Q254" i="4"/>
  <c r="R253" i="4"/>
  <c r="Q253" i="4"/>
  <c r="R252" i="4"/>
  <c r="Q252" i="4"/>
  <c r="R251" i="4"/>
  <c r="Q251" i="4"/>
  <c r="R250" i="4"/>
  <c r="Q250" i="4"/>
  <c r="R249" i="4"/>
  <c r="Q249" i="4"/>
  <c r="R247" i="4"/>
  <c r="Q247" i="4"/>
  <c r="R246" i="4"/>
  <c r="Q246" i="4"/>
  <c r="R245" i="4"/>
  <c r="Q245" i="4"/>
  <c r="R244" i="4"/>
  <c r="Q244" i="4"/>
  <c r="R243" i="4"/>
  <c r="Q243" i="4"/>
  <c r="R242" i="4"/>
  <c r="Q242" i="4"/>
  <c r="R241" i="4"/>
  <c r="Q241" i="4"/>
  <c r="R240" i="4"/>
  <c r="Q240" i="4"/>
  <c r="R239" i="4"/>
  <c r="Q239" i="4"/>
  <c r="R238" i="4"/>
  <c r="Q238" i="4"/>
  <c r="R236" i="4"/>
  <c r="Q236" i="4"/>
  <c r="R235" i="4"/>
  <c r="Q235" i="4"/>
  <c r="R234" i="4"/>
  <c r="Q234" i="4"/>
  <c r="R233" i="4"/>
  <c r="Q233" i="4"/>
  <c r="R232" i="4"/>
  <c r="Q232" i="4"/>
  <c r="R231" i="4"/>
  <c r="Q231" i="4"/>
  <c r="R230" i="4"/>
  <c r="Q230" i="4"/>
  <c r="R229" i="4"/>
  <c r="Q229" i="4"/>
  <c r="R228" i="4"/>
  <c r="Q228" i="4"/>
  <c r="R227" i="4"/>
  <c r="Q227" i="4"/>
  <c r="R226" i="4"/>
  <c r="Q226" i="4"/>
  <c r="R224" i="4"/>
  <c r="Q224" i="4"/>
  <c r="R223" i="4"/>
  <c r="Q223" i="4"/>
  <c r="R222" i="4"/>
  <c r="Q222" i="4"/>
  <c r="R221" i="4"/>
  <c r="Q221" i="4"/>
  <c r="R220" i="4"/>
  <c r="Q220" i="4"/>
  <c r="R219" i="4"/>
  <c r="Q219" i="4"/>
  <c r="R218" i="4"/>
  <c r="Q218" i="4"/>
  <c r="R217" i="4"/>
  <c r="Q217" i="4"/>
  <c r="R216" i="4"/>
  <c r="Q216" i="4"/>
  <c r="R215" i="4"/>
  <c r="Q215" i="4"/>
  <c r="R214" i="4"/>
  <c r="Q214" i="4"/>
  <c r="R213" i="4"/>
  <c r="Q213" i="4"/>
  <c r="R212" i="4"/>
  <c r="Q212" i="4"/>
  <c r="R211" i="4"/>
  <c r="Q211" i="4"/>
  <c r="R210" i="4"/>
  <c r="Q210" i="4"/>
  <c r="R209" i="4"/>
  <c r="Q209" i="4"/>
  <c r="R208" i="4"/>
  <c r="Q208" i="4"/>
  <c r="R206" i="4"/>
  <c r="Q206" i="4"/>
  <c r="R204" i="4"/>
  <c r="Q204" i="4"/>
  <c r="R203" i="4"/>
  <c r="Q203" i="4"/>
  <c r="R202" i="4"/>
  <c r="Q202" i="4"/>
  <c r="R201" i="4"/>
  <c r="Q201" i="4"/>
  <c r="R200" i="4"/>
  <c r="Q200" i="4"/>
  <c r="R199" i="4"/>
  <c r="Q199" i="4"/>
  <c r="R198" i="4"/>
  <c r="Q198" i="4"/>
  <c r="R197" i="4"/>
  <c r="Q197" i="4"/>
  <c r="R196" i="4"/>
  <c r="Q196" i="4"/>
  <c r="R195" i="4"/>
  <c r="Q195" i="4"/>
  <c r="R194" i="4"/>
  <c r="Q194" i="4"/>
  <c r="R192" i="4"/>
  <c r="Q192" i="4"/>
  <c r="R191" i="4"/>
  <c r="Q191" i="4"/>
  <c r="R190" i="4"/>
  <c r="Q190" i="4"/>
  <c r="R189" i="4"/>
  <c r="Q189" i="4"/>
  <c r="R188" i="4"/>
  <c r="Q188" i="4"/>
  <c r="R187" i="4"/>
  <c r="Q187" i="4"/>
  <c r="R186" i="4"/>
  <c r="Q186" i="4"/>
  <c r="R185" i="4"/>
  <c r="Q185" i="4"/>
  <c r="R184" i="4"/>
  <c r="Q184" i="4"/>
  <c r="R183" i="4"/>
  <c r="Q183" i="4"/>
  <c r="R182" i="4"/>
  <c r="Q182" i="4"/>
  <c r="R180" i="4"/>
  <c r="Q180" i="4"/>
  <c r="R179" i="4"/>
  <c r="Q179" i="4"/>
  <c r="R178" i="4"/>
  <c r="Q178" i="4"/>
  <c r="R177" i="4"/>
  <c r="Q177" i="4"/>
  <c r="R176" i="4"/>
  <c r="Q176" i="4"/>
  <c r="R175" i="4"/>
  <c r="Q175" i="4"/>
  <c r="R174" i="4"/>
  <c r="Q174" i="4"/>
  <c r="R173" i="4"/>
  <c r="Q173" i="4"/>
  <c r="R172" i="4"/>
  <c r="Q172" i="4"/>
  <c r="R171" i="4"/>
  <c r="Q171" i="4"/>
  <c r="R170" i="4"/>
  <c r="Q170" i="4"/>
  <c r="R168" i="4"/>
  <c r="Q168" i="4"/>
  <c r="R167" i="4"/>
  <c r="Q167" i="4"/>
  <c r="R166" i="4"/>
  <c r="Q166" i="4"/>
  <c r="R165" i="4"/>
  <c r="Q165" i="4"/>
  <c r="R164" i="4"/>
  <c r="Q164" i="4"/>
  <c r="R163" i="4"/>
  <c r="Q163" i="4"/>
  <c r="R162" i="4"/>
  <c r="Q162" i="4"/>
  <c r="R161" i="4"/>
  <c r="Q161" i="4"/>
  <c r="R160" i="4"/>
  <c r="Q160" i="4"/>
  <c r="R159" i="4"/>
  <c r="Q159" i="4"/>
  <c r="R158" i="4"/>
  <c r="Q158" i="4"/>
  <c r="R157" i="4"/>
  <c r="Q157" i="4"/>
  <c r="R156" i="4"/>
  <c r="Q156" i="4"/>
  <c r="R155" i="4"/>
  <c r="Q155" i="4"/>
  <c r="R154" i="4"/>
  <c r="Q154" i="4"/>
  <c r="R152" i="4"/>
  <c r="Q152" i="4"/>
  <c r="R151" i="4"/>
  <c r="Q151" i="4"/>
  <c r="R150" i="4"/>
  <c r="Q150" i="4"/>
  <c r="R149" i="4"/>
  <c r="Q149" i="4"/>
  <c r="R148" i="4"/>
  <c r="Q148" i="4"/>
  <c r="R147" i="4"/>
  <c r="Q147" i="4"/>
  <c r="R146" i="4"/>
  <c r="Q146" i="4"/>
  <c r="R145" i="4"/>
  <c r="Q145" i="4"/>
  <c r="R144" i="4"/>
  <c r="Q144" i="4"/>
  <c r="R143" i="4"/>
  <c r="Q143" i="4"/>
  <c r="R142" i="4"/>
  <c r="Q142" i="4"/>
  <c r="R141" i="4"/>
  <c r="Q141" i="4"/>
  <c r="R139" i="4"/>
  <c r="Q139" i="4"/>
  <c r="R138" i="4"/>
  <c r="Q138" i="4"/>
  <c r="R137" i="4"/>
  <c r="Q137" i="4"/>
  <c r="R136" i="4"/>
  <c r="Q136" i="4"/>
  <c r="R135" i="4"/>
  <c r="Q135" i="4"/>
  <c r="R134" i="4"/>
  <c r="Q134" i="4"/>
  <c r="R133" i="4"/>
  <c r="Q133" i="4"/>
  <c r="R132" i="4"/>
  <c r="Q132" i="4"/>
  <c r="R131" i="4"/>
  <c r="Q131" i="4"/>
  <c r="R130" i="4"/>
  <c r="Q130" i="4"/>
  <c r="R129" i="4"/>
  <c r="Q129" i="4"/>
  <c r="R128" i="4"/>
  <c r="Q128" i="4"/>
  <c r="R127" i="4"/>
  <c r="Q127" i="4"/>
  <c r="R126" i="4"/>
  <c r="Q126" i="4"/>
  <c r="R125" i="4"/>
  <c r="Q125" i="4"/>
  <c r="R123" i="4"/>
  <c r="Q123" i="4"/>
  <c r="R122" i="4"/>
  <c r="Q122" i="4"/>
  <c r="R121" i="4"/>
  <c r="Q121" i="4"/>
  <c r="R120" i="4"/>
  <c r="Q120" i="4"/>
  <c r="R119" i="4"/>
  <c r="Q119" i="4"/>
  <c r="R118" i="4"/>
  <c r="Q118" i="4"/>
  <c r="R117" i="4"/>
  <c r="Q117" i="4"/>
  <c r="R116" i="4"/>
  <c r="Q116" i="4"/>
  <c r="R115" i="4"/>
  <c r="Q115" i="4"/>
  <c r="R114" i="4"/>
  <c r="Q114" i="4"/>
  <c r="R113" i="4"/>
  <c r="Q113" i="4"/>
  <c r="R112" i="4"/>
  <c r="Q112" i="4"/>
  <c r="R111" i="4"/>
  <c r="Q111" i="4"/>
  <c r="R110" i="4"/>
  <c r="Q110" i="4"/>
  <c r="R109" i="4"/>
  <c r="Q109" i="4"/>
  <c r="R108" i="4"/>
  <c r="Q108" i="4"/>
  <c r="R107" i="4"/>
  <c r="Q107" i="4"/>
  <c r="R106" i="4"/>
  <c r="Q106" i="4"/>
  <c r="R105" i="4"/>
  <c r="Q105" i="4"/>
  <c r="R104" i="4"/>
  <c r="Q104" i="4"/>
  <c r="R103" i="4"/>
  <c r="Q103" i="4"/>
  <c r="R101" i="4"/>
  <c r="Q101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R92" i="4"/>
  <c r="Q92" i="4"/>
  <c r="R91" i="4"/>
  <c r="Q91" i="4"/>
  <c r="R89" i="4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8" i="4"/>
  <c r="Q78" i="4"/>
  <c r="R77" i="4"/>
  <c r="Q77" i="4"/>
  <c r="R76" i="4"/>
  <c r="Q76" i="4"/>
  <c r="R75" i="4"/>
  <c r="Q75" i="4"/>
  <c r="R74" i="4"/>
  <c r="Q74" i="4"/>
  <c r="R73" i="4"/>
  <c r="Q73" i="4"/>
  <c r="R72" i="4"/>
  <c r="Q72" i="4"/>
  <c r="R71" i="4"/>
  <c r="Q71" i="4"/>
  <c r="R70" i="4"/>
  <c r="Q70" i="4"/>
  <c r="R69" i="4"/>
  <c r="Q69" i="4"/>
  <c r="R68" i="4"/>
  <c r="Q68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R59" i="4"/>
  <c r="Q59" i="4"/>
  <c r="R58" i="4"/>
  <c r="Q58" i="4"/>
  <c r="R56" i="4"/>
  <c r="Q56" i="4"/>
  <c r="R55" i="4"/>
  <c r="Q55" i="4"/>
  <c r="R54" i="4"/>
  <c r="Q54" i="4"/>
  <c r="R53" i="4"/>
  <c r="Q53" i="4"/>
  <c r="R52" i="4"/>
  <c r="Q52" i="4"/>
  <c r="R51" i="4"/>
  <c r="Q51" i="4"/>
  <c r="R50" i="4"/>
  <c r="Q50" i="4"/>
  <c r="R49" i="4"/>
  <c r="Q49" i="4"/>
  <c r="R48" i="4"/>
  <c r="Q48" i="4"/>
  <c r="R47" i="4"/>
  <c r="Q47" i="4"/>
  <c r="R46" i="4"/>
  <c r="Q46" i="4"/>
  <c r="R44" i="4"/>
  <c r="Q44" i="4"/>
  <c r="R43" i="4"/>
  <c r="Q43" i="4"/>
  <c r="R42" i="4"/>
  <c r="Q42" i="4"/>
  <c r="R41" i="4"/>
  <c r="Q41" i="4"/>
  <c r="R40" i="4"/>
  <c r="Q40" i="4"/>
  <c r="R39" i="4"/>
  <c r="Q39" i="4"/>
  <c r="R38" i="4"/>
  <c r="Q38" i="4"/>
  <c r="R37" i="4"/>
  <c r="Q37" i="4"/>
  <c r="R36" i="4"/>
  <c r="Q36" i="4"/>
  <c r="R35" i="4"/>
  <c r="Q35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9" i="4"/>
  <c r="Q19" i="4"/>
  <c r="R18" i="4"/>
  <c r="Q18" i="4"/>
  <c r="R17" i="4"/>
  <c r="Q17" i="4"/>
  <c r="R16" i="4"/>
  <c r="Q16" i="4"/>
  <c r="R15" i="4"/>
  <c r="Q15" i="4"/>
  <c r="R14" i="4"/>
  <c r="Q14" i="4"/>
  <c r="R12" i="4"/>
  <c r="Q12" i="4"/>
  <c r="P171" i="4" l="1"/>
  <c r="P664" i="4"/>
  <c r="P676" i="4"/>
  <c r="P681" i="4"/>
  <c r="P657" i="4"/>
  <c r="P669" i="4"/>
  <c r="P674" i="4"/>
  <c r="P41" i="4"/>
  <c r="P431" i="4"/>
  <c r="P125" i="4"/>
  <c r="P367" i="4"/>
  <c r="P376" i="4"/>
  <c r="P382" i="4"/>
  <c r="P386" i="4"/>
  <c r="P545" i="4"/>
  <c r="P554" i="4"/>
  <c r="P558" i="4"/>
  <c r="P562" i="4"/>
  <c r="P682" i="4"/>
  <c r="P424" i="4"/>
  <c r="P609" i="4"/>
  <c r="P615" i="4"/>
  <c r="P619" i="4"/>
  <c r="P624" i="4"/>
  <c r="P629" i="4"/>
  <c r="P635" i="4"/>
  <c r="P210" i="4"/>
  <c r="P191" i="4"/>
  <c r="P428" i="4"/>
  <c r="P149" i="4"/>
  <c r="P144" i="4"/>
  <c r="P111" i="4"/>
  <c r="P115" i="4"/>
  <c r="P114" i="4"/>
  <c r="P122" i="4"/>
  <c r="P119" i="4"/>
  <c r="P112" i="4"/>
  <c r="P89" i="4"/>
  <c r="P86" i="4"/>
  <c r="P64" i="4"/>
  <c r="P43" i="4"/>
  <c r="P61" i="4"/>
  <c r="P78" i="4"/>
  <c r="P235" i="4"/>
  <c r="P262" i="4"/>
  <c r="P281" i="4"/>
  <c r="P285" i="4"/>
  <c r="P303" i="4"/>
  <c r="P308" i="4"/>
  <c r="P317" i="4"/>
  <c r="P321" i="4"/>
  <c r="P326" i="4"/>
  <c r="P339" i="4"/>
  <c r="P414" i="4"/>
  <c r="P422" i="4"/>
  <c r="P427" i="4"/>
  <c r="P241" i="4"/>
  <c r="P259" i="4"/>
  <c r="P272" i="4"/>
  <c r="P292" i="4"/>
  <c r="P296" i="4"/>
  <c r="P300" i="4"/>
  <c r="P304" i="4"/>
  <c r="P313" i="4"/>
  <c r="P322" i="4"/>
  <c r="P327" i="4"/>
  <c r="P331" i="4"/>
  <c r="P340" i="4"/>
  <c r="P641" i="4"/>
  <c r="P653" i="4"/>
  <c r="P29" i="4"/>
  <c r="P33" i="4"/>
  <c r="P69" i="4"/>
  <c r="P672" i="4"/>
  <c r="P121" i="4"/>
  <c r="P261" i="4"/>
  <c r="P284" i="4"/>
  <c r="P290" i="4"/>
  <c r="P306" i="4"/>
  <c r="P311" i="4"/>
  <c r="P315" i="4"/>
  <c r="P325" i="4"/>
  <c r="P333" i="4"/>
  <c r="P76" i="4"/>
  <c r="P81" i="4"/>
  <c r="P184" i="4"/>
  <c r="P343" i="4"/>
  <c r="P441" i="4"/>
  <c r="P512" i="4"/>
  <c r="P516" i="4"/>
  <c r="P530" i="4"/>
  <c r="P538" i="4"/>
  <c r="P564" i="4"/>
  <c r="P569" i="4"/>
  <c r="P582" i="4"/>
  <c r="P639" i="4"/>
  <c r="P146" i="4"/>
  <c r="P535" i="4"/>
  <c r="P566" i="4"/>
  <c r="P570" i="4"/>
  <c r="P579" i="4"/>
  <c r="P599" i="4"/>
  <c r="P147" i="4"/>
  <c r="P209" i="4"/>
  <c r="P221" i="4"/>
  <c r="P226" i="4"/>
  <c r="P230" i="4"/>
  <c r="P234" i="4"/>
  <c r="P394" i="4"/>
  <c r="P412" i="4"/>
  <c r="P44" i="4"/>
  <c r="P49" i="4"/>
  <c r="P53" i="4"/>
  <c r="P58" i="4"/>
  <c r="P88" i="4"/>
  <c r="P148" i="4"/>
  <c r="P157" i="4"/>
  <c r="P174" i="4"/>
  <c r="P183" i="4"/>
  <c r="P187" i="4"/>
  <c r="P231" i="4"/>
  <c r="P252" i="4"/>
  <c r="P378" i="4"/>
  <c r="P104" i="4"/>
  <c r="P202" i="4"/>
  <c r="P216" i="4"/>
  <c r="P246" i="4"/>
  <c r="P451" i="4"/>
  <c r="P467" i="4"/>
  <c r="P476" i="4"/>
  <c r="P485" i="4"/>
  <c r="P14" i="4"/>
  <c r="P35" i="4"/>
  <c r="P39" i="4"/>
  <c r="P52" i="4"/>
  <c r="P437" i="4"/>
  <c r="P448" i="4"/>
  <c r="P509" i="4"/>
  <c r="P523" i="4"/>
  <c r="P539" i="4"/>
  <c r="P116" i="4"/>
  <c r="P120" i="4"/>
  <c r="P145" i="4"/>
  <c r="P154" i="4"/>
  <c r="P158" i="4"/>
  <c r="P164" i="4"/>
  <c r="P62" i="4"/>
  <c r="P196" i="4"/>
  <c r="P200" i="4"/>
  <c r="P218" i="4"/>
  <c r="P416" i="4"/>
  <c r="P420" i="4"/>
  <c r="P461" i="4"/>
  <c r="P478" i="4"/>
  <c r="P505" i="4"/>
  <c r="P532" i="4"/>
  <c r="P576" i="4"/>
  <c r="P585" i="4"/>
  <c r="P605" i="4"/>
  <c r="P616" i="4"/>
  <c r="P75" i="4"/>
  <c r="P96" i="4"/>
  <c r="P159" i="4"/>
  <c r="P240" i="4"/>
  <c r="P244" i="4"/>
  <c r="P677" i="4"/>
  <c r="P185" i="4"/>
  <c r="P37" i="4"/>
  <c r="P54" i="4"/>
  <c r="P93" i="4"/>
  <c r="P130" i="4"/>
  <c r="P134" i="4"/>
  <c r="P197" i="4"/>
  <c r="P201" i="4"/>
  <c r="P219" i="4"/>
  <c r="P347" i="4"/>
  <c r="P352" i="4"/>
  <c r="P356" i="4"/>
  <c r="P396" i="4"/>
  <c r="P435" i="4"/>
  <c r="P444" i="4"/>
  <c r="P471" i="4"/>
  <c r="P507" i="4"/>
  <c r="P533" i="4"/>
  <c r="P542" i="4"/>
  <c r="P546" i="4"/>
  <c r="P559" i="4"/>
  <c r="P563" i="4"/>
  <c r="P597" i="4"/>
  <c r="P606" i="4"/>
  <c r="P617" i="4"/>
  <c r="P621" i="4"/>
  <c r="P627" i="4"/>
  <c r="P637" i="4"/>
  <c r="P643" i="4"/>
  <c r="P666" i="4"/>
  <c r="P27" i="4"/>
  <c r="P31" i="4"/>
  <c r="P24" i="4"/>
  <c r="P28" i="4"/>
  <c r="P129" i="4"/>
  <c r="P613" i="4"/>
  <c r="P51" i="4"/>
  <c r="P492" i="4"/>
  <c r="P23" i="4"/>
  <c r="P26" i="4"/>
  <c r="P82" i="4"/>
  <c r="P94" i="4"/>
  <c r="P167" i="4"/>
  <c r="P188" i="4"/>
  <c r="P204" i="4"/>
  <c r="P222" i="4"/>
  <c r="P255" i="4"/>
  <c r="P349" i="4"/>
  <c r="P362" i="4"/>
  <c r="P366" i="4"/>
  <c r="P371" i="4"/>
  <c r="P375" i="4"/>
  <c r="P385" i="4"/>
  <c r="P389" i="4"/>
  <c r="P397" i="4"/>
  <c r="P402" i="4"/>
  <c r="P406" i="4"/>
  <c r="P410" i="4"/>
  <c r="P475" i="4"/>
  <c r="P479" i="4"/>
  <c r="P510" i="4"/>
  <c r="P524" i="4"/>
  <c r="P528" i="4"/>
  <c r="P25" i="4"/>
  <c r="P438" i="4"/>
  <c r="P547" i="4"/>
  <c r="P633" i="4"/>
  <c r="P56" i="4"/>
  <c r="P127" i="4"/>
  <c r="P283" i="4"/>
  <c r="P301" i="4"/>
  <c r="P137" i="4"/>
  <c r="P299" i="4"/>
  <c r="P518" i="4"/>
  <c r="P573" i="4"/>
  <c r="P592" i="4"/>
  <c r="P622" i="4"/>
  <c r="P103" i="4"/>
  <c r="P277" i="4"/>
  <c r="P16" i="4"/>
  <c r="P99" i="4"/>
  <c r="P105" i="4"/>
  <c r="P139" i="4"/>
  <c r="P168" i="4"/>
  <c r="P206" i="4"/>
  <c r="P223" i="4"/>
  <c r="P228" i="4"/>
  <c r="P249" i="4"/>
  <c r="P265" i="4"/>
  <c r="P279" i="4"/>
  <c r="P328" i="4"/>
  <c r="P332" i="4"/>
  <c r="P345" i="4"/>
  <c r="P354" i="4"/>
  <c r="P398" i="4"/>
  <c r="P459" i="4"/>
  <c r="P463" i="4"/>
  <c r="P503" i="4"/>
  <c r="P630" i="4"/>
  <c r="P636" i="4"/>
  <c r="P68" i="4"/>
  <c r="P142" i="4"/>
  <c r="P291" i="4"/>
  <c r="P370" i="4"/>
  <c r="P66" i="4"/>
  <c r="P87" i="4"/>
  <c r="P128" i="4"/>
  <c r="P189" i="4"/>
  <c r="P253" i="4"/>
  <c r="P294" i="4"/>
  <c r="P522" i="4"/>
  <c r="P550" i="4"/>
  <c r="P577" i="4"/>
  <c r="P59" i="4"/>
  <c r="P556" i="4"/>
  <c r="P361" i="4"/>
  <c r="P12" i="4"/>
  <c r="P21" i="4"/>
  <c r="P80" i="4"/>
  <c r="P84" i="4"/>
  <c r="P92" i="4"/>
  <c r="P136" i="4"/>
  <c r="P161" i="4"/>
  <c r="P165" i="4"/>
  <c r="P182" i="4"/>
  <c r="P190" i="4"/>
  <c r="P229" i="4"/>
  <c r="P250" i="4"/>
  <c r="P267" i="4"/>
  <c r="P271" i="4"/>
  <c r="P276" i="4"/>
  <c r="P346" i="4"/>
  <c r="P355" i="4"/>
  <c r="P373" i="4"/>
  <c r="P391" i="4"/>
  <c r="P408" i="4"/>
  <c r="P434" i="4"/>
  <c r="P469" i="4"/>
  <c r="P473" i="4"/>
  <c r="P477" i="4"/>
  <c r="P482" i="4"/>
  <c r="P486" i="4"/>
  <c r="P491" i="4"/>
  <c r="P534" i="4"/>
  <c r="P274" i="4"/>
  <c r="P645" i="4"/>
  <c r="P17" i="4"/>
  <c r="P32" i="4"/>
  <c r="P46" i="4"/>
  <c r="P50" i="4"/>
  <c r="P70" i="4"/>
  <c r="P85" i="4"/>
  <c r="P106" i="4"/>
  <c r="P155" i="4"/>
  <c r="P163" i="4"/>
  <c r="P179" i="4"/>
  <c r="P199" i="4"/>
  <c r="P208" i="4"/>
  <c r="P212" i="4"/>
  <c r="P258" i="4"/>
  <c r="P270" i="4"/>
  <c r="P297" i="4"/>
  <c r="P310" i="4"/>
  <c r="P334" i="4"/>
  <c r="P351" i="4"/>
  <c r="P358" i="4"/>
  <c r="P372" i="4"/>
  <c r="P390" i="4"/>
  <c r="P415" i="4"/>
  <c r="P446" i="4"/>
  <c r="P462" i="4"/>
  <c r="P474" i="4"/>
  <c r="P483" i="4"/>
  <c r="P487" i="4"/>
  <c r="P496" i="4"/>
  <c r="P513" i="4"/>
  <c r="P527" i="4"/>
  <c r="P586" i="4"/>
  <c r="P610" i="4"/>
  <c r="P620" i="4"/>
  <c r="P625" i="4"/>
  <c r="P670" i="4"/>
  <c r="P227" i="4"/>
  <c r="P405" i="4"/>
  <c r="P589" i="4"/>
  <c r="P18" i="4"/>
  <c r="P22" i="4"/>
  <c r="P160" i="4"/>
  <c r="P298" i="4"/>
  <c r="P319" i="4"/>
  <c r="P407" i="4"/>
  <c r="P138" i="4"/>
  <c r="P215" i="4"/>
  <c r="P393" i="4"/>
  <c r="P465" i="4"/>
  <c r="P97" i="4"/>
  <c r="P132" i="4"/>
  <c r="P176" i="4"/>
  <c r="P213" i="4"/>
  <c r="P217" i="4"/>
  <c r="P224" i="4"/>
  <c r="P238" i="4"/>
  <c r="P254" i="4"/>
  <c r="P344" i="4"/>
  <c r="P364" i="4"/>
  <c r="P403" i="4"/>
  <c r="P425" i="4"/>
  <c r="P442" i="4"/>
  <c r="P488" i="4"/>
  <c r="P493" i="4"/>
  <c r="P498" i="4"/>
  <c r="P514" i="4"/>
  <c r="P544" i="4"/>
  <c r="P548" i="4"/>
  <c r="P553" i="4"/>
  <c r="P557" i="4"/>
  <c r="P587" i="4"/>
  <c r="P642" i="4"/>
  <c r="P660" i="4"/>
  <c r="P20" i="4"/>
  <c r="P40" i="4"/>
  <c r="P342" i="4"/>
  <c r="P95" i="4"/>
  <c r="P453" i="4"/>
  <c r="P595" i="4"/>
  <c r="P680" i="4"/>
  <c r="P152" i="4"/>
  <c r="P268" i="4"/>
  <c r="P295" i="4"/>
  <c r="P399" i="4"/>
  <c r="P602" i="4"/>
  <c r="P608" i="4"/>
  <c r="P649" i="4"/>
  <c r="P278" i="4"/>
  <c r="P357" i="4"/>
  <c r="P60" i="4"/>
  <c r="P178" i="4"/>
  <c r="P289" i="4"/>
  <c r="P457" i="4"/>
  <c r="P580" i="4"/>
  <c r="P55" i="4"/>
  <c r="P63" i="4"/>
  <c r="P72" i="4"/>
  <c r="P91" i="4"/>
  <c r="P98" i="4"/>
  <c r="P108" i="4"/>
  <c r="P126" i="4"/>
  <c r="P133" i="4"/>
  <c r="P170" i="4"/>
  <c r="P177" i="4"/>
  <c r="P214" i="4"/>
  <c r="P239" i="4"/>
  <c r="P243" i="4"/>
  <c r="P287" i="4"/>
  <c r="P312" i="4"/>
  <c r="P365" i="4"/>
  <c r="P374" i="4"/>
  <c r="P380" i="4"/>
  <c r="P388" i="4"/>
  <c r="P392" i="4"/>
  <c r="P417" i="4"/>
  <c r="P421" i="4"/>
  <c r="P426" i="4"/>
  <c r="P443" i="4"/>
  <c r="P452" i="4"/>
  <c r="P456" i="4"/>
  <c r="P460" i="4"/>
  <c r="P464" i="4"/>
  <c r="P494" i="4"/>
  <c r="P499" i="4"/>
  <c r="P515" i="4"/>
  <c r="P549" i="4"/>
  <c r="P567" i="4"/>
  <c r="P584" i="4"/>
  <c r="P588" i="4"/>
  <c r="P594" i="4"/>
  <c r="P661" i="4"/>
  <c r="P673" i="4"/>
  <c r="P678" i="4"/>
  <c r="P48" i="4"/>
  <c r="P83" i="4"/>
  <c r="P118" i="4"/>
  <c r="P350" i="4"/>
  <c r="P449" i="4"/>
  <c r="P495" i="4"/>
  <c r="P500" i="4"/>
  <c r="P520" i="4"/>
  <c r="P531" i="4"/>
  <c r="P30" i="4"/>
  <c r="P65" i="4"/>
  <c r="P101" i="4"/>
  <c r="P131" i="4"/>
  <c r="P135" i="4"/>
  <c r="P186" i="4"/>
  <c r="P194" i="4"/>
  <c r="P256" i="4"/>
  <c r="P260" i="4"/>
  <c r="P264" i="4"/>
  <c r="P329" i="4"/>
  <c r="P337" i="4"/>
  <c r="P433" i="4"/>
  <c r="P450" i="4"/>
  <c r="P504" i="4"/>
  <c r="P521" i="4"/>
  <c r="P574" i="4"/>
  <c r="P591" i="4"/>
  <c r="P603" i="4"/>
  <c r="P651" i="4"/>
  <c r="P38" i="4"/>
  <c r="P73" i="4"/>
  <c r="P109" i="4"/>
  <c r="P143" i="4"/>
  <c r="P172" i="4"/>
  <c r="P195" i="4"/>
  <c r="P198" i="4"/>
  <c r="P242" i="4"/>
  <c r="P269" i="4"/>
  <c r="P314" i="4"/>
  <c r="P330" i="4"/>
  <c r="P338" i="4"/>
  <c r="P341" i="4"/>
  <c r="P383" i="4"/>
  <c r="P387" i="4"/>
  <c r="P429" i="4"/>
  <c r="P454" i="4"/>
  <c r="P458" i="4"/>
  <c r="P501" i="4"/>
  <c r="P525" i="4"/>
  <c r="P529" i="4"/>
  <c r="P571" i="4"/>
  <c r="P600" i="4"/>
  <c r="P647" i="4"/>
  <c r="P15" i="4"/>
  <c r="P150" i="4"/>
  <c r="P162" i="4"/>
  <c r="P173" i="4"/>
  <c r="P220" i="4"/>
  <c r="P232" i="4"/>
  <c r="P293" i="4"/>
  <c r="P363" i="4"/>
  <c r="P470" i="4"/>
  <c r="P536" i="4"/>
  <c r="P541" i="4"/>
  <c r="P568" i="4"/>
  <c r="P601" i="4"/>
  <c r="P42" i="4"/>
  <c r="P74" i="4"/>
  <c r="P77" i="4"/>
  <c r="P110" i="4"/>
  <c r="P113" i="4"/>
  <c r="P123" i="4"/>
  <c r="P180" i="4"/>
  <c r="P247" i="4"/>
  <c r="P251" i="4"/>
  <c r="P320" i="4"/>
  <c r="P324" i="4"/>
  <c r="P360" i="4"/>
  <c r="P418" i="4"/>
  <c r="P490" i="4"/>
  <c r="P560" i="4"/>
  <c r="P648" i="4"/>
  <c r="P658" i="4"/>
  <c r="P19" i="4"/>
  <c r="P47" i="4"/>
  <c r="P117" i="4"/>
  <c r="P151" i="4"/>
  <c r="P156" i="4"/>
  <c r="P368" i="4"/>
  <c r="P404" i="4"/>
  <c r="P203" i="4"/>
  <c r="P233" i="4"/>
  <c r="P275" i="4"/>
  <c r="P302" i="4"/>
  <c r="P305" i="4"/>
  <c r="P419" i="4"/>
  <c r="P561" i="4"/>
  <c r="P654" i="4"/>
  <c r="P36" i="4"/>
  <c r="P71" i="4"/>
  <c r="P107" i="4"/>
  <c r="P141" i="4"/>
  <c r="P166" i="4"/>
  <c r="P236" i="4"/>
  <c r="P309" i="4"/>
  <c r="P381" i="4"/>
  <c r="P409" i="4"/>
  <c r="P440" i="4"/>
  <c r="P480" i="4"/>
  <c r="P511" i="4"/>
  <c r="P551" i="4"/>
  <c r="P581" i="4"/>
  <c r="P628" i="4"/>
  <c r="P667" i="4"/>
  <c r="P211" i="4"/>
  <c r="P282" i="4"/>
  <c r="P353" i="4"/>
  <c r="P395" i="4"/>
  <c r="P436" i="4"/>
  <c r="P466" i="4"/>
  <c r="P508" i="4"/>
  <c r="P537" i="4"/>
  <c r="P578" i="4"/>
  <c r="P612" i="4"/>
  <c r="P663" i="4"/>
  <c r="P175" i="4"/>
  <c r="P245" i="4"/>
  <c r="P318" i="4"/>
  <c r="P401" i="4"/>
  <c r="P430" i="4"/>
  <c r="P472" i="4"/>
  <c r="P502" i="4"/>
  <c r="P543" i="4"/>
  <c r="P572" i="4"/>
  <c r="P618" i="4"/>
  <c r="P655" i="4"/>
  <c r="P192" i="4"/>
  <c r="P263" i="4"/>
  <c r="P336" i="4"/>
  <c r="P384" i="4"/>
  <c r="P413" i="4"/>
  <c r="P455" i="4"/>
  <c r="P484" i="4"/>
  <c r="P526" i="4"/>
  <c r="P555" i="4"/>
  <c r="P598" i="4"/>
  <c r="P631" i="4"/>
  <c r="BA22" i="1" l="1"/>
  <c r="AQ22" i="1"/>
  <c r="BE21" i="1"/>
  <c r="AT21" i="1"/>
  <c r="AR21" i="1"/>
  <c r="AQ21" i="1"/>
  <c r="S117" i="1" l="1"/>
  <c r="R117" i="1"/>
  <c r="Q117" i="1"/>
  <c r="S116" i="1"/>
  <c r="R116" i="1"/>
  <c r="Q116" i="1"/>
  <c r="P116" i="1" s="1"/>
  <c r="S115" i="1"/>
  <c r="R115" i="1"/>
  <c r="Q115" i="1"/>
  <c r="S114" i="1"/>
  <c r="R114" i="1"/>
  <c r="Q114" i="1"/>
  <c r="P114" i="1"/>
  <c r="S113" i="1"/>
  <c r="R113" i="1"/>
  <c r="Q113" i="1"/>
  <c r="S112" i="1"/>
  <c r="R112" i="1"/>
  <c r="Q112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99" i="1"/>
  <c r="R99" i="1"/>
  <c r="Q99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1" i="1"/>
  <c r="R91" i="1"/>
  <c r="Q91" i="1"/>
  <c r="S90" i="1"/>
  <c r="R90" i="1"/>
  <c r="Q90" i="1"/>
  <c r="S89" i="1"/>
  <c r="R89" i="1"/>
  <c r="Q89" i="1"/>
  <c r="S88" i="1"/>
  <c r="R88" i="1"/>
  <c r="Q88" i="1"/>
  <c r="S86" i="1"/>
  <c r="R86" i="1"/>
  <c r="Q86" i="1"/>
  <c r="S85" i="1"/>
  <c r="R85" i="1"/>
  <c r="Q85" i="1"/>
  <c r="S84" i="1"/>
  <c r="R84" i="1"/>
  <c r="Q84" i="1"/>
  <c r="S83" i="1"/>
  <c r="R83" i="1"/>
  <c r="Q83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5" i="1"/>
  <c r="R75" i="1"/>
  <c r="Q75" i="1"/>
  <c r="S73" i="1"/>
  <c r="R73" i="1"/>
  <c r="Q73" i="1"/>
  <c r="S72" i="1"/>
  <c r="R72" i="1"/>
  <c r="Q72" i="1"/>
  <c r="S71" i="1"/>
  <c r="R71" i="1"/>
  <c r="Q71" i="1"/>
  <c r="P71" i="1" s="1"/>
  <c r="S70" i="1"/>
  <c r="R70" i="1"/>
  <c r="Q70" i="1"/>
  <c r="S69" i="1"/>
  <c r="R69" i="1"/>
  <c r="Q69" i="1"/>
  <c r="S67" i="1"/>
  <c r="R67" i="1"/>
  <c r="Q67" i="1"/>
  <c r="S66" i="1"/>
  <c r="R66" i="1"/>
  <c r="Q66" i="1"/>
  <c r="S65" i="1"/>
  <c r="R65" i="1"/>
  <c r="Q65" i="1"/>
  <c r="S64" i="1"/>
  <c r="R64" i="1"/>
  <c r="Q64" i="1"/>
  <c r="S62" i="1"/>
  <c r="R62" i="1"/>
  <c r="Q62" i="1"/>
  <c r="S61" i="1"/>
  <c r="R61" i="1"/>
  <c r="Q61" i="1"/>
  <c r="S60" i="1"/>
  <c r="R60" i="1"/>
  <c r="Q60" i="1"/>
  <c r="S59" i="1"/>
  <c r="R59" i="1"/>
  <c r="Q59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4" i="1"/>
  <c r="R44" i="1"/>
  <c r="Q44" i="1"/>
  <c r="S43" i="1"/>
  <c r="R43" i="1"/>
  <c r="Q43" i="1"/>
  <c r="S42" i="1"/>
  <c r="R42" i="1"/>
  <c r="Q42" i="1"/>
  <c r="S41" i="1"/>
  <c r="R41" i="1"/>
  <c r="Q41" i="1"/>
  <c r="S39" i="1"/>
  <c r="R39" i="1"/>
  <c r="Q39" i="1"/>
  <c r="S37" i="1"/>
  <c r="R37" i="1"/>
  <c r="Q37" i="1"/>
  <c r="S36" i="1"/>
  <c r="R36" i="1"/>
  <c r="Q36" i="1"/>
  <c r="S35" i="1"/>
  <c r="R35" i="1"/>
  <c r="Q35" i="1"/>
  <c r="S34" i="1"/>
  <c r="R34" i="1"/>
  <c r="Q34" i="1"/>
  <c r="S32" i="1"/>
  <c r="R32" i="1"/>
  <c r="Q32" i="1"/>
  <c r="S31" i="1"/>
  <c r="R31" i="1"/>
  <c r="Q31" i="1"/>
  <c r="P31" i="1" s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4" i="1"/>
  <c r="R24" i="1"/>
  <c r="Q24" i="1"/>
  <c r="S22" i="1"/>
  <c r="R22" i="1"/>
  <c r="Q22" i="1"/>
  <c r="S21" i="1"/>
  <c r="R21" i="1"/>
  <c r="Q21" i="1"/>
  <c r="S20" i="1"/>
  <c r="R20" i="1"/>
  <c r="Q20" i="1"/>
  <c r="S18" i="1"/>
  <c r="R18" i="1"/>
  <c r="Q18" i="1"/>
  <c r="S17" i="1"/>
  <c r="R17" i="1"/>
  <c r="Q17" i="1"/>
  <c r="S16" i="1"/>
  <c r="R16" i="1"/>
  <c r="Q16" i="1"/>
  <c r="S14" i="1"/>
  <c r="R14" i="1"/>
  <c r="Q14" i="1"/>
  <c r="Q13" i="1"/>
  <c r="R13" i="1"/>
  <c r="S13" i="1"/>
  <c r="S12" i="1"/>
  <c r="Q12" i="1"/>
  <c r="R12" i="1"/>
  <c r="S11" i="1"/>
  <c r="R11" i="1"/>
  <c r="Q11" i="1"/>
  <c r="P91" i="1" l="1"/>
  <c r="P102" i="1"/>
  <c r="P112" i="1"/>
  <c r="P39" i="1"/>
  <c r="P117" i="1"/>
  <c r="P115" i="1"/>
  <c r="P34" i="1"/>
  <c r="P73" i="1"/>
  <c r="P36" i="1"/>
  <c r="P49" i="1"/>
  <c r="P59" i="1"/>
  <c r="P79" i="1"/>
  <c r="P89" i="1"/>
  <c r="P99" i="1"/>
  <c r="P109" i="1"/>
  <c r="P29" i="1"/>
  <c r="P44" i="1"/>
  <c r="P64" i="1"/>
  <c r="P77" i="1"/>
  <c r="P24" i="1"/>
  <c r="P35" i="1"/>
  <c r="P21" i="1"/>
  <c r="P80" i="1"/>
  <c r="P66" i="1"/>
  <c r="P75" i="1"/>
  <c r="P69" i="1"/>
  <c r="P94" i="1"/>
  <c r="P56" i="1"/>
  <c r="P96" i="1"/>
  <c r="P78" i="1"/>
  <c r="P54" i="1"/>
  <c r="P18" i="1"/>
  <c r="P37" i="1"/>
  <c r="P51" i="1"/>
  <c r="P61" i="1"/>
  <c r="P104" i="1"/>
  <c r="P17" i="1"/>
  <c r="P11" i="1"/>
  <c r="P47" i="1"/>
  <c r="P55" i="1"/>
  <c r="P95" i="1"/>
  <c r="P57" i="1"/>
  <c r="P86" i="1"/>
  <c r="P27" i="1"/>
  <c r="P84" i="1"/>
  <c r="P107" i="1"/>
  <c r="P42" i="1"/>
  <c r="P81" i="1"/>
  <c r="P32" i="1"/>
  <c r="P93" i="1"/>
  <c r="P48" i="1"/>
  <c r="P16" i="1"/>
  <c r="P26" i="1"/>
  <c r="P46" i="1"/>
  <c r="P65" i="1"/>
  <c r="P85" i="1"/>
  <c r="P106" i="1"/>
  <c r="P110" i="1"/>
  <c r="P28" i="1"/>
  <c r="P22" i="1"/>
  <c r="P43" i="1"/>
  <c r="P62" i="1"/>
  <c r="P83" i="1"/>
  <c r="P103" i="1"/>
  <c r="P53" i="1"/>
  <c r="P72" i="1"/>
  <c r="P113" i="1"/>
  <c r="P50" i="1"/>
  <c r="P90" i="1"/>
  <c r="P67" i="1"/>
  <c r="P20" i="1"/>
  <c r="P41" i="1"/>
  <c r="P60" i="1"/>
  <c r="P101" i="1"/>
  <c r="P30" i="1"/>
  <c r="P70" i="1"/>
  <c r="P88" i="1"/>
  <c r="P108" i="1"/>
  <c r="P97" i="1"/>
  <c r="P14" i="1"/>
  <c r="P12" i="1"/>
  <c r="P13" i="1"/>
</calcChain>
</file>

<file path=xl/sharedStrings.xml><?xml version="1.0" encoding="utf-8"?>
<sst xmlns="http://schemas.openxmlformats.org/spreadsheetml/2006/main" count="9110" uniqueCount="881">
  <si>
    <t>부서별 정원 배정표</t>
  </si>
  <si>
    <t>본부 / 정규 / 기준정원</t>
  </si>
  <si>
    <t>기준일자 추가 사유 : 수시직제 협의결과 등 반영</t>
  </si>
  <si>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</si>
  <si>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</si>
  <si>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</si>
  <si>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</si>
  <si>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</si>
  <si>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</si>
  <si>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</si>
  <si>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</si>
  <si>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</si>
  <si>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</si>
  <si>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</si>
  <si>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</si>
  <si>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</si>
  <si>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</si>
  <si>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</si>
  <si>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</si>
  <si>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</si>
  <si>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</si>
  <si>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</si>
  <si>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</si>
  <si>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</si>
  <si>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</si>
  <si>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</si>
  <si>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</si>
  <si>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5급,연구관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</si>
  <si>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</si>
  <si>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</si>
  <si>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</si>
  <si>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</si>
  <si>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</si>
  <si>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</si>
  <si>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</si>
  <si>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</si>
  <si>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</si>
  <si>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</si>
  <si>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</si>
  <si>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</si>
  <si>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</si>
  <si>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</si>
  <si>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</si>
  <si>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</si>
  <si>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</si>
  <si>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</si>
  <si>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</si>
  <si>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</si>
  <si>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</si>
  <si>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</si>
  <si>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</si>
  <si>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</si>
  <si>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</si>
  <si>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</si>
  <si>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</si>
  <si>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행정사무관,통계사무관,공업사무관,보건사무관,시설사무관,전산사무관,기록연구관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</si>
  <si>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</si>
  <si>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</si>
  <si>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</si>
  <si>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</si>
  <si>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</si>
  <si>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</si>
  <si>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</si>
  <si>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</si>
  <si>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</si>
  <si>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</si>
  <si>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</si>
  <si>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</si>
  <si>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</si>
  <si>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</si>
  <si>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</si>
  <si>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</si>
  <si>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</si>
  <si>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</si>
  <si>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</si>
  <si>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</si>
  <si>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</si>
  <si>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</si>
  <si>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</si>
  <si>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</si>
  <si>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</si>
  <si>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</si>
  <si>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</si>
  <si>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</si>
  <si>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</si>
  <si>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</si>
  <si>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</si>
  <si>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</si>
  <si>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</si>
  <si>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</si>
  <si>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법령정원총계</t>
  </si>
  <si>
    <t>입력합계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</si>
  <si>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</si>
  <si>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</si>
  <si>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</si>
  <si>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</si>
  <si>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</si>
  <si>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</si>
  <si>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</si>
  <si>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</si>
  <si>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</si>
  <si>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</si>
  <si>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</si>
  <si>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</si>
  <si>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대변인 [2]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</si>
  <si>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</si>
  <si>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</si>
  <si>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</si>
  <si>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</si>
  <si>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</si>
  <si>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</si>
  <si>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</si>
  <si>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</si>
  <si>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</si>
  <si>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감사관 [2]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</si>
  <si>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</si>
  <si>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</si>
  <si>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</si>
  <si>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</si>
  <si>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</si>
  <si>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</si>
  <si>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</si>
  <si>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</si>
  <si>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</si>
  <si>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</si>
  <si>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</si>
  <si>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</si>
  <si>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</si>
  <si>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</si>
  <si>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</si>
  <si>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</si>
  <si>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</si>
  <si>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</si>
  <si>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</si>
  <si>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</si>
  <si>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</si>
  <si>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</si>
  <si>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</si>
  <si>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</si>
  <si>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</si>
  <si>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</si>
  <si>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</si>
  <si>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</si>
  <si>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</si>
  <si>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</si>
  <si>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</si>
  <si>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</si>
  <si>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</si>
  <si>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</si>
  <si>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</si>
  <si>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</si>
  <si>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</si>
  <si>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</si>
  <si>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</si>
  <si>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</si>
  <si>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</si>
  <si>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</si>
  <si>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</si>
  <si>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</si>
  <si>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</si>
  <si>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</si>
  <si>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</si>
  <si>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</si>
  <si>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</si>
  <si>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</si>
  <si>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</si>
  <si>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</si>
  <si>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</si>
  <si>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</si>
  <si>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</si>
  <si>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</si>
  <si>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</si>
  <si>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</si>
  <si>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</si>
  <si>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</si>
  <si>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</si>
  <si>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</si>
  <si>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</si>
  <si>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</si>
  <si>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</si>
  <si>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한시(일반)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</si>
  <si>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</si>
  <si>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</si>
  <si>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</si>
  <si>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</si>
  <si>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</si>
  <si>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</si>
  <si>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</si>
  <si>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</si>
  <si>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</si>
  <si>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</si>
  <si>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</si>
  <si>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</si>
  <si>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</si>
  <si>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</si>
  <si>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</si>
  <si>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차관(급)</t>
  </si>
  <si>
    <t>차관급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</si>
  <si>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</si>
  <si>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</si>
  <si>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</si>
  <si>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</si>
  <si>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</si>
  <si>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</si>
  <si>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</si>
  <si>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</si>
  <si>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</si>
  <si>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</si>
  <si>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</si>
  <si>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</si>
  <si>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</si>
  <si>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</si>
  <si>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과학기술서기관,서기관,공업사무관,보건사무관,시설사무관,행정사무관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</si>
  <si>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</si>
  <si>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</si>
  <si>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</si>
  <si>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</si>
  <si>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</si>
  <si>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</si>
  <si>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</si>
  <si>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위원</t>
  </si>
  <si>
    <t>고위공무원단에 속하는 임기제(나)</t>
  </si>
  <si>
    <t>보건주사보,간호주사보</t>
  </si>
  <si>
    <t>소속 / 정규 / 운영정원</t>
  </si>
  <si>
    <t>장관급(중앙노동위원회 위원장)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</si>
  <si>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</si>
  <si>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</si>
  <si>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</si>
  <si>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</si>
  <si>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</si>
  <si>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부이사관,서기관</t>
  </si>
  <si>
    <t>서기관,과학기술서기관,행정사무관,공업사무관,보건사무관,시설사무관,전산사무관</t>
  </si>
  <si>
    <t>임기제 서기관,임기제 행정사무관(소장)</t>
  </si>
  <si>
    <t>행정사무관,통계사무관,공업사무관,보건사무관,시설사무관,전산사무관</t>
  </si>
  <si>
    <t>행정사무관,전산사무관</t>
  </si>
  <si>
    <t>행정주사,직업상담주사</t>
  </si>
  <si>
    <t>행정주사,약무주사,간호주사</t>
  </si>
  <si>
    <t>공업주사,보건주사,시설주사,방재안전주사</t>
  </si>
  <si>
    <t>행정주사보,직업상담주사보</t>
  </si>
  <si>
    <t>행정주사보,약무주사보,간호주사보</t>
  </si>
  <si>
    <t>공업주사보,보건주사보,시설주사보,방재안전주사보</t>
  </si>
  <si>
    <t>행정서기,통계서기</t>
  </si>
  <si>
    <t>행정서기,직업상담서기</t>
  </si>
  <si>
    <t>행정서기,전산서기</t>
  </si>
  <si>
    <t>직업상담서기</t>
  </si>
  <si>
    <t>방호서기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</si>
  <si>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</si>
  <si>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</si>
  <si>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</si>
  <si>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</si>
  <si>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</si>
  <si>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방호서기보</t>
  </si>
  <si>
    <t>서울지방고용노동청 [21]</t>
  </si>
  <si>
    <t>소속</t>
  </si>
  <si>
    <t>소속기관(특별지방행정기관)</t>
  </si>
  <si>
    <t>노동행정</t>
  </si>
  <si>
    <t>  서울지방고용노동청</t>
  </si>
  <si>
    <t>  서울고용센터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</si>
  <si>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</si>
  <si>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</si>
  <si>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</si>
  <si>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</si>
  <si>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</si>
  <si>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</si>
  <si>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</si>
  <si>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</si>
  <si>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</si>
  <si>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</si>
  <si>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</si>
  <si>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</si>
  <si>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</si>
  <si>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</si>
  <si>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</si>
  <si>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</si>
  <si>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</si>
  <si>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</si>
  <si>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</si>
  <si>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</si>
  <si>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</si>
  <si>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</si>
  <si>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서울강남지청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</si>
  <si>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</si>
  <si>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</si>
  <si>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</si>
  <si>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</si>
  <si>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</si>
  <si>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</si>
  <si>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</si>
  <si>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</si>
  <si>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</si>
  <si>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</si>
  <si>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</si>
  <si>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</si>
  <si>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 서울동부지청</t>
  </si>
  <si>
    <t>   서울동부지청</t>
  </si>
  <si>
    <t>   서울동부고용센터</t>
  </si>
  <si>
    <t>   성동광진고용센터</t>
  </si>
  <si>
    <t>   중대재해수사과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</si>
  <si>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</si>
  <si>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</si>
  <si>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</si>
  <si>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</si>
  <si>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</si>
  <si>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</si>
  <si>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</si>
  <si>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</si>
  <si>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</si>
  <si>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</si>
  <si>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</si>
  <si>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</si>
  <si>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</si>
  <si>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</si>
  <si>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경기지방고용노동청 [22]</t>
  </si>
  <si>
    <t>  경기지방고용노동청</t>
  </si>
  <si>
    <t>  수원고용센터</t>
  </si>
  <si>
    <t>   수원고용센터</t>
  </si>
  <si>
    <t>  용인고용센터</t>
  </si>
  <si>
    <t>  화성고용센터</t>
  </si>
  <si>
    <t>  중대재해수사1과</t>
  </si>
  <si>
    <t>  중대재해수사2과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</si>
  <si>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</si>
  <si>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</si>
  <si>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</si>
  <si>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</si>
  <si>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</si>
  <si>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</si>
  <si>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</si>
  <si>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</si>
  <si>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 고양지청</t>
  </si>
  <si>
    <t>   고양지청</t>
  </si>
  <si>
    <t>   고양고용센터</t>
  </si>
  <si>
    <t>   파주고용센터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</si>
  <si>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</si>
  <si>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</si>
  <si>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</si>
  <si>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</si>
  <si>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</si>
  <si>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</si>
  <si>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</si>
  <si>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</si>
  <si>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</si>
  <si>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</si>
  <si>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</si>
  <si>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</si>
  <si>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</si>
  <si>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</si>
  <si>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</si>
  <si>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</si>
  <si>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</si>
  <si>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</si>
  <si>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</si>
  <si>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</si>
  <si>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중부지방고용노동청 [19]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</si>
  <si>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</si>
  <si>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</si>
  <si>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</si>
  <si>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</si>
  <si>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</si>
  <si>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</si>
  <si>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</si>
  <si>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</si>
  <si>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</si>
  <si>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</si>
  <si>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</si>
  <si>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강원지청</t>
  </si>
  <si>
    <t>   강원지청</t>
  </si>
  <si>
    <t>   춘천고용센터</t>
  </si>
  <si>
    <t>   노동기준조사과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</si>
  <si>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</si>
  <si>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</si>
  <si>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</si>
  <si>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</si>
  <si>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</si>
  <si>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</si>
  <si>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</si>
  <si>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</si>
  <si>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</si>
  <si>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</si>
  <si>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</si>
  <si>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</si>
  <si>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</si>
  <si>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</si>
  <si>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</si>
  <si>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 영월출장소</t>
  </si>
  <si>
    <t>   영월출장소</t>
  </si>
  <si>
    <t>   영월고용센터</t>
  </si>
  <si>
    <t>부산지방고용노동청 [20]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</si>
  <si>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</si>
  <si>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</si>
  <si>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</si>
  <si>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</si>
  <si>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</si>
  <si>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</si>
  <si>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</si>
  <si>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</si>
  <si>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</si>
  <si>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</si>
  <si>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</si>
  <si>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</si>
  <si>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</si>
  <si>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</si>
  <si>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</si>
  <si>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</si>
  <si>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</si>
  <si>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  노사상생지원과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</si>
  <si>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</si>
  <si>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</si>
  <si>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</si>
  <si>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</si>
  <si>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</si>
  <si>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</si>
  <si>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</si>
  <si>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</si>
  <si>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</si>
  <si>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</si>
  <si>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</si>
  <si>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</si>
  <si>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</si>
  <si>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</si>
  <si>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[20]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</si>
  <si>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</si>
  <si>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</si>
  <si>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</si>
  <si>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</si>
  <si>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</si>
  <si>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</si>
  <si>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</si>
  <si>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</si>
  <si>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</si>
  <si>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</si>
  <si>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</si>
  <si>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</si>
  <si>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</si>
  <si>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</si>
  <si>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</si>
  <si>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</si>
  <si>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</si>
  <si>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</si>
  <si>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</si>
  <si>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</si>
  <si>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</si>
  <si>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</si>
  <si>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</si>
  <si>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</si>
  <si>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</si>
  <si>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</si>
  <si>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[20]</t>
  </si>
  <si>
    <t>  광주지방고용노동청</t>
  </si>
  <si>
    <t>  광주고용센터</t>
  </si>
  <si>
    <t>   광주고용센터</t>
  </si>
  <si>
    <t>  광주광산고용센터</t>
  </si>
  <si>
    <t>  제주노동기준조사센터</t>
  </si>
  <si>
    <t>  제주산재예방감독팀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</si>
  <si>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</si>
  <si>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</si>
  <si>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</si>
  <si>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</si>
  <si>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</si>
  <si>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</si>
  <si>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</si>
  <si>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</si>
  <si>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</si>
  <si>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</si>
  <si>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</si>
  <si>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</si>
  <si>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</si>
  <si>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</si>
  <si>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</si>
  <si>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</si>
  <si>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</si>
  <si>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</si>
  <si>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</si>
  <si>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</si>
  <si>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</si>
  <si>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</si>
  <si>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[20]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</si>
  <si>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</si>
  <si>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</si>
  <si>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</si>
  <si>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</si>
  <si>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</si>
  <si>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</si>
  <si>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</si>
  <si>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</si>
  <si>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</si>
  <si>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</si>
  <si>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</si>
  <si>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</si>
  <si>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</si>
  <si>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</si>
  <si>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</si>
  <si>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</si>
  <si>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</si>
  <si>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</si>
  <si>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</si>
  <si>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보령지청</t>
  </si>
  <si>
    <t>   보령지청</t>
  </si>
  <si>
    <t>   보령고용센터</t>
  </si>
  <si>
    <t>  서산지청</t>
  </si>
  <si>
    <t>   서산지청</t>
  </si>
  <si>
    <t>   서산고용센터</t>
  </si>
  <si>
    <t>중앙노동위원회 [3]</t>
  </si>
  <si>
    <t>행정기관위원회</t>
  </si>
  <si>
    <t>행정</t>
  </si>
  <si>
    <t>  중앙노동위원회</t>
  </si>
  <si>
    <t>  상임위원</t>
  </si>
  <si>
    <t>고위공무원단에 속하는 임기제(가)</t>
  </si>
  <si>
    <t>  사무처</t>
  </si>
  <si>
    <t>소속기관(부속기관)</t>
  </si>
  <si>
    <t>기타기관</t>
  </si>
  <si>
    <t>   사무처</t>
  </si>
  <si>
    <t>   기획총괄과</t>
  </si>
  <si>
    <t>   조정심판국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</si>
  <si>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</si>
  <si>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</si>
  <si>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</si>
  <si>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</si>
  <si>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</si>
  <si>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</si>
  <si>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</si>
  <si>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부산지방노동위원회 [2]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</si>
  <si>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</si>
  <si>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</si>
  <si>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</si>
  <si>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</si>
  <si>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</si>
  <si>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</si>
  <si>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</si>
  <si>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</si>
  <si>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</si>
  <si>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</si>
  <si>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</si>
  <si>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</si>
  <si>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</si>
  <si>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</si>
  <si>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</si>
  <si>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</si>
  <si>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</si>
  <si>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</si>
  <si>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</si>
  <si>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</si>
  <si>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</si>
  <si>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</si>
  <si>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</si>
  <si>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</si>
  <si>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</si>
  <si>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</si>
  <si>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</si>
  <si>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</si>
  <si>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</si>
  <si>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</si>
  <si>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</si>
  <si>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</si>
  <si>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</si>
  <si>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자문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</si>
  <si>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</si>
  <si>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</si>
  <si>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</si>
  <si>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</si>
  <si>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</si>
  <si>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</si>
  <si>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</si>
  <si>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</si>
  <si>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</si>
  <si>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</si>
  <si>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아니지</t>
    <phoneticPr fontId="22" type="noConversion"/>
  </si>
  <si>
    <t>검토</t>
    <phoneticPr fontId="22" type="noConversion"/>
  </si>
  <si>
    <t>부서1</t>
    <phoneticPr fontId="22" type="noConversion"/>
  </si>
  <si>
    <t>부서2</t>
    <phoneticPr fontId="22" type="noConversion"/>
  </si>
  <si>
    <t>부서3</t>
    <phoneticPr fontId="22" type="noConversion"/>
  </si>
  <si>
    <t>부서4</t>
    <phoneticPr fontId="22" type="noConversion"/>
  </si>
  <si>
    <t>부서5</t>
    <phoneticPr fontId="22" type="noConversion"/>
  </si>
  <si>
    <t>부서6</t>
    <phoneticPr fontId="22" type="noConversion"/>
  </si>
  <si>
    <t>고용노동부</t>
  </si>
  <si>
    <t>장관실</t>
  </si>
  <si>
    <t>차관실</t>
  </si>
  <si>
    <t>대변인</t>
  </si>
  <si>
    <t>홍보담당관</t>
  </si>
  <si>
    <t>디지털소통팀</t>
  </si>
  <si>
    <t>감사관</t>
  </si>
  <si>
    <t>감사담당관</t>
  </si>
  <si>
    <t>민원운영팀</t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</si>
  <si>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</si>
  <si>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</si>
  <si>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</si>
  <si>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</si>
  <si>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</si>
  <si>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</si>
  <si>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</si>
  <si>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</t>
  </si>
  <si>
    <t>국제협력관</t>
  </si>
  <si>
    <t>국제협력담당관</t>
  </si>
  <si>
    <t>외국인력담당관</t>
  </si>
  <si>
    <t>국제개발협력팀</t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</si>
  <si>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</si>
  <si>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</si>
  <si>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</si>
  <si>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</si>
  <si>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</si>
  <si>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</si>
  <si>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</si>
  <si>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</si>
  <si>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고용지원실업급여과</t>
  </si>
  <si>
    <t>자산운영팀</t>
  </si>
  <si>
    <t>국민취업지원기획팀</t>
  </si>
  <si>
    <t>고용지원정책관</t>
  </si>
  <si>
    <t>고용서비스기반과</t>
  </si>
  <si>
    <t>고용문화개선정책과</t>
  </si>
  <si>
    <t>미래고용분석과</t>
  </si>
  <si>
    <t>노동시장조사과</t>
  </si>
  <si>
    <t>통합고용정책국</t>
  </si>
  <si>
    <t>고령사회인력정책과</t>
  </si>
  <si>
    <t>장애인고용과</t>
  </si>
  <si>
    <t>사회적기업과</t>
  </si>
  <si>
    <t>청년고용정책관</t>
  </si>
  <si>
    <t>청년고용기획과</t>
  </si>
  <si>
    <t>청년취업지원과</t>
  </si>
  <si>
    <t>공정채용기반과</t>
  </si>
  <si>
    <t>직업능력정책국</t>
  </si>
  <si>
    <t>직업능력정책과</t>
  </si>
  <si>
    <t>직업능력평가과</t>
  </si>
  <si>
    <t>인적자원개발과</t>
  </si>
  <si>
    <t>기업훈련지원과</t>
  </si>
  <si>
    <t>노동정책실</t>
  </si>
  <si>
    <t>노동정책관</t>
  </si>
  <si>
    <t>노동정책총괄과</t>
  </si>
  <si>
    <t>노무제공자지원과</t>
  </si>
  <si>
    <t>공공노사관계과</t>
  </si>
  <si>
    <t>임금근로시간정책과</t>
  </si>
  <si>
    <t>노사협력정책관</t>
  </si>
  <si>
    <t>노사협력정책과</t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</si>
  <si>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</si>
  <si>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</si>
  <si>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</si>
  <si>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</si>
  <si>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</si>
  <si>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</si>
  <si>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근로감독정책단</t>
  </si>
  <si>
    <t>근로감독기획과</t>
  </si>
  <si>
    <t>근로감독협력과</t>
  </si>
  <si>
    <t>산업안전보건정책실</t>
  </si>
  <si>
    <t>산업안전예방정책관</t>
  </si>
  <si>
    <t>산업안전정책과</t>
  </si>
  <si>
    <t>산업안전기준과</t>
  </si>
  <si>
    <t>산재예방지원과</t>
  </si>
  <si>
    <t>산업보건보상정책관</t>
  </si>
  <si>
    <t>산업보건정책과</t>
  </si>
  <si>
    <t>산재보상정책과</t>
  </si>
  <si>
    <t>노무제공자안전보호과</t>
  </si>
  <si>
    <t>직업건강증진팀</t>
  </si>
  <si>
    <t>안전보건감독국</t>
  </si>
  <si>
    <t>안전보건감독기획과</t>
  </si>
  <si>
    <t>중대산업재해수사과</t>
  </si>
  <si>
    <t>건설산재예방감독과</t>
  </si>
  <si>
    <t>화학사고예방조사과</t>
  </si>
  <si>
    <t>고용보험심사위원회</t>
  </si>
  <si>
    <t>지방고용노동관서</t>
  </si>
  <si>
    <t>서울지방고용노동청</t>
  </si>
  <si>
    <t>서울고용센터</t>
  </si>
  <si>
    <t>취업지원총괄과</t>
  </si>
  <si>
    <t>실업급여과</t>
  </si>
  <si>
    <t>국민취업지원과</t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</si>
  <si>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</si>
  <si>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</si>
  <si>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</si>
  <si>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</si>
  <si>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</si>
  <si>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</si>
  <si>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</si>
  <si>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</si>
  <si>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노동기준조사1과</t>
  </si>
  <si>
    <t>노동기준조사2과</t>
  </si>
  <si>
    <t>노동기준조사3과</t>
  </si>
  <si>
    <t>광역노동기준감독과</t>
  </si>
  <si>
    <t>광역산재예방감독과</t>
  </si>
  <si>
    <t>중대재해수사과</t>
  </si>
  <si>
    <t>산재예방감독과</t>
  </si>
  <si>
    <t>서울강남지청</t>
  </si>
  <si>
    <t>서울강남고용센터</t>
  </si>
  <si>
    <t>노동기준감독과</t>
  </si>
  <si>
    <t>서울동부지청</t>
  </si>
  <si>
    <t>서울동부고용센터</t>
  </si>
  <si>
    <t>성동광진고용센터</t>
  </si>
  <si>
    <t>서울서부지청</t>
  </si>
  <si>
    <t>서울서부고용센터</t>
  </si>
  <si>
    <t>서울남부지청</t>
  </si>
  <si>
    <t>서울남부고용센터</t>
  </si>
  <si>
    <t>서울강서고용센터</t>
  </si>
  <si>
    <t>서울북부지청</t>
  </si>
  <si>
    <t>서울북부고용센터</t>
  </si>
  <si>
    <t>강북성북고용센터</t>
  </si>
  <si>
    <t>서울관악지청</t>
  </si>
  <si>
    <t>서울관악고용센터</t>
  </si>
  <si>
    <t>경기지방고용노동청</t>
  </si>
  <si>
    <t>수원고용센터</t>
  </si>
  <si>
    <t>용인고용센터</t>
  </si>
  <si>
    <t>화성고용센터</t>
  </si>
  <si>
    <t>중대재해수사1과</t>
  </si>
  <si>
    <t>중대재해수사2과</t>
  </si>
  <si>
    <t>의정부지청</t>
  </si>
  <si>
    <t>의정부고용센터</t>
  </si>
  <si>
    <t>구리고용센터</t>
  </si>
  <si>
    <t>남양주고용센터</t>
  </si>
  <si>
    <t>동두천고용센터</t>
  </si>
  <si>
    <t>양주고용센터</t>
  </si>
  <si>
    <t>고양지청</t>
  </si>
  <si>
    <t>고양고용센터</t>
  </si>
  <si>
    <t>파주고용센터</t>
  </si>
  <si>
    <t>성남지청</t>
  </si>
  <si>
    <t>성남고용센터</t>
  </si>
  <si>
    <t>경기광주고용센터</t>
  </si>
  <si>
    <t>이천고용센터</t>
  </si>
  <si>
    <t>하남고용센터</t>
  </si>
  <si>
    <t>안양지청</t>
  </si>
  <si>
    <t>안양고용센터</t>
  </si>
  <si>
    <t>광명고용센터</t>
  </si>
  <si>
    <t>의왕고용센터</t>
  </si>
  <si>
    <t>안산지청</t>
  </si>
  <si>
    <t>안산고용센터</t>
  </si>
  <si>
    <t>시흥고용센터</t>
  </si>
  <si>
    <t>평택지청</t>
  </si>
  <si>
    <t>평택고용센터</t>
  </si>
  <si>
    <t>오산고용센터</t>
  </si>
  <si>
    <t>안성고용센터</t>
  </si>
  <si>
    <t>고용노동부</t>
    <phoneticPr fontId="22" type="noConversion"/>
  </si>
  <si>
    <t>중부지방고용노동청</t>
    <phoneticPr fontId="22" type="noConversion"/>
  </si>
  <si>
    <t>인천고용센터</t>
    <phoneticPr fontId="22" type="noConversion"/>
  </si>
  <si>
    <t>지역협력과</t>
    <phoneticPr fontId="22" type="noConversion"/>
  </si>
  <si>
    <t>고용관리과</t>
    <phoneticPr fontId="22" type="noConversion"/>
  </si>
  <si>
    <t>부정수급조사과</t>
    <phoneticPr fontId="22" type="noConversion"/>
  </si>
  <si>
    <t>노사상생지원과</t>
    <phoneticPr fontId="22" type="noConversion"/>
  </si>
  <si>
    <t>노동기준조사2과</t>
    <phoneticPr fontId="22" type="noConversion"/>
  </si>
  <si>
    <t>광역노동기준감독과</t>
    <phoneticPr fontId="22" type="noConversion"/>
  </si>
  <si>
    <t>광역산재예방감독과</t>
    <phoneticPr fontId="22" type="noConversion"/>
  </si>
  <si>
    <t>중대재해수사과</t>
    <phoneticPr fontId="22" type="noConversion"/>
  </si>
  <si>
    <t>산재예방감독과</t>
    <phoneticPr fontId="22" type="noConversion"/>
  </si>
  <si>
    <t>건설산재예방감독과</t>
    <phoneticPr fontId="22" type="noConversion"/>
  </si>
  <si>
    <t>인천북부지청</t>
    <phoneticPr fontId="22" type="noConversion"/>
  </si>
  <si>
    <t>인천북부고용센터</t>
    <phoneticPr fontId="22" type="noConversion"/>
  </si>
  <si>
    <t>인천서부고용센터</t>
    <phoneticPr fontId="22" type="noConversion"/>
  </si>
  <si>
    <t>노동기준조사3과</t>
    <phoneticPr fontId="22" type="noConversion"/>
  </si>
  <si>
    <t>노동기준감독과</t>
    <phoneticPr fontId="22" type="noConversion"/>
  </si>
  <si>
    <t>부천지청</t>
    <phoneticPr fontId="22" type="noConversion"/>
  </si>
  <si>
    <t>부천고용센터</t>
    <phoneticPr fontId="22" type="noConversion"/>
  </si>
  <si>
    <t>김포고용센터</t>
    <phoneticPr fontId="22" type="noConversion"/>
  </si>
  <si>
    <t>강원지청</t>
    <phoneticPr fontId="22" type="noConversion"/>
  </si>
  <si>
    <t>춘천고용센터</t>
    <phoneticPr fontId="22" type="noConversion"/>
  </si>
  <si>
    <t>노동기준조사과</t>
    <phoneticPr fontId="22" type="noConversion"/>
  </si>
  <si>
    <t>강릉지청</t>
    <phoneticPr fontId="22" type="noConversion"/>
  </si>
  <si>
    <t>강릉고용센터</t>
    <phoneticPr fontId="22" type="noConversion"/>
  </si>
  <si>
    <t>속초고용센터</t>
    <phoneticPr fontId="22" type="noConversion"/>
  </si>
  <si>
    <t>원주지청</t>
    <phoneticPr fontId="22" type="noConversion"/>
  </si>
  <si>
    <t>원주고용센터</t>
    <phoneticPr fontId="22" type="noConversion"/>
  </si>
  <si>
    <t>태백지청</t>
    <phoneticPr fontId="22" type="noConversion"/>
  </si>
  <si>
    <t>태백고용센터</t>
    <phoneticPr fontId="22" type="noConversion"/>
  </si>
  <si>
    <t>삼척고용센터</t>
    <phoneticPr fontId="22" type="noConversion"/>
  </si>
  <si>
    <t>지역협력팀</t>
    <phoneticPr fontId="22" type="noConversion"/>
  </si>
  <si>
    <t>노동기준조사팀</t>
    <phoneticPr fontId="22" type="noConversion"/>
  </si>
  <si>
    <t>산재예방감독팀</t>
    <phoneticPr fontId="22" type="noConversion"/>
  </si>
  <si>
    <t>영월출장소</t>
    <phoneticPr fontId="22" type="noConversion"/>
  </si>
  <si>
    <t>영월고용센터</t>
    <phoneticPr fontId="22" type="noConversion"/>
  </si>
  <si>
    <t>부산지방고용노동청</t>
    <phoneticPr fontId="22" type="noConversion"/>
  </si>
  <si>
    <t>부산고용센터</t>
    <phoneticPr fontId="22" type="noConversion"/>
  </si>
  <si>
    <t>부산사하고용센터</t>
    <phoneticPr fontId="22" type="noConversion"/>
  </si>
  <si>
    <t>부산동부지청</t>
    <phoneticPr fontId="22" type="noConversion"/>
  </si>
  <si>
    <t>부산동부고용센터</t>
    <phoneticPr fontId="22" type="noConversion"/>
  </si>
  <si>
    <t>부산북부지청</t>
    <phoneticPr fontId="22" type="noConversion"/>
  </si>
  <si>
    <t>부산북부고용센터</t>
    <phoneticPr fontId="22" type="noConversion"/>
  </si>
  <si>
    <t>창원지청</t>
    <phoneticPr fontId="22" type="noConversion"/>
  </si>
  <si>
    <t>창원고용센터</t>
    <phoneticPr fontId="22" type="noConversion"/>
  </si>
  <si>
    <t>마산고용센터</t>
    <phoneticPr fontId="22" type="noConversion"/>
  </si>
  <si>
    <t>근로문화개선지원과</t>
    <phoneticPr fontId="22" type="noConversion"/>
  </si>
  <si>
    <t>울산지청</t>
    <phoneticPr fontId="22" type="noConversion"/>
  </si>
  <si>
    <t>울산고용센터</t>
    <phoneticPr fontId="22" type="noConversion"/>
  </si>
  <si>
    <t>양산지청</t>
    <phoneticPr fontId="22" type="noConversion"/>
  </si>
  <si>
    <t>김해고용센터</t>
    <phoneticPr fontId="22" type="noConversion"/>
  </si>
  <si>
    <t>양산고용센터</t>
    <phoneticPr fontId="22" type="noConversion"/>
  </si>
  <si>
    <t>밀양고용센터</t>
    <phoneticPr fontId="22" type="noConversion"/>
  </si>
  <si>
    <t>진주지청</t>
    <phoneticPr fontId="22" type="noConversion"/>
  </si>
  <si>
    <t>진주고용센터</t>
    <phoneticPr fontId="22" type="noConversion"/>
  </si>
  <si>
    <t>하동고용센터</t>
    <phoneticPr fontId="22" type="noConversion"/>
  </si>
  <si>
    <t>거창고용센터</t>
    <phoneticPr fontId="22" type="noConversion"/>
  </si>
  <si>
    <t>통영지청</t>
    <phoneticPr fontId="22" type="noConversion"/>
  </si>
  <si>
    <t>통영고용센터</t>
    <phoneticPr fontId="22" type="noConversion"/>
  </si>
  <si>
    <t>거제고용센터</t>
    <phoneticPr fontId="22" type="noConversion"/>
  </si>
  <si>
    <t>대구지방고용노동청</t>
    <phoneticPr fontId="22" type="noConversion"/>
  </si>
  <si>
    <t>대구고용센터</t>
    <phoneticPr fontId="22" type="noConversion"/>
  </si>
  <si>
    <t>대구강북고용센터</t>
    <phoneticPr fontId="22" type="noConversion"/>
  </si>
  <si>
    <t>대구동부고용센터</t>
    <phoneticPr fontId="22" type="noConversion"/>
  </si>
  <si>
    <t>경산고용센터</t>
    <phoneticPr fontId="22" type="noConversion"/>
  </si>
  <si>
    <t>대구서부지청</t>
    <phoneticPr fontId="22" type="noConversion"/>
  </si>
  <si>
    <t>대구서부고용센터</t>
    <phoneticPr fontId="22" type="noConversion"/>
  </si>
  <si>
    <t>대구달성고용센터</t>
    <phoneticPr fontId="22" type="noConversion"/>
  </si>
  <si>
    <t>칠곡고용센터</t>
    <phoneticPr fontId="22" type="noConversion"/>
  </si>
  <si>
    <t>포항지청</t>
    <phoneticPr fontId="22" type="noConversion"/>
  </si>
  <si>
    <t>포항고용센터</t>
    <phoneticPr fontId="22" type="noConversion"/>
  </si>
  <si>
    <t>경주고용센터</t>
    <phoneticPr fontId="22" type="noConversion"/>
  </si>
  <si>
    <t>구미지청</t>
    <phoneticPr fontId="22" type="noConversion"/>
  </si>
  <si>
    <t>구미고용센터</t>
    <phoneticPr fontId="22" type="noConversion"/>
  </si>
  <si>
    <t>김천고용센터</t>
    <phoneticPr fontId="22" type="noConversion"/>
  </si>
  <si>
    <t>영주지청</t>
    <phoneticPr fontId="22" type="noConversion"/>
  </si>
  <si>
    <t>영주고용센터</t>
    <phoneticPr fontId="22" type="noConversion"/>
  </si>
  <si>
    <t>문경고용센터</t>
    <phoneticPr fontId="22" type="noConversion"/>
  </si>
  <si>
    <t>안동지청</t>
    <phoneticPr fontId="22" type="noConversion"/>
  </si>
  <si>
    <t>안동고용센터</t>
    <phoneticPr fontId="22" type="noConversion"/>
  </si>
  <si>
    <t>광주지방고용노동청</t>
    <phoneticPr fontId="22" type="noConversion"/>
  </si>
  <si>
    <t>광주고용센터</t>
    <phoneticPr fontId="22" type="noConversion"/>
  </si>
  <si>
    <t>광주광산고용센터</t>
    <phoneticPr fontId="22" type="noConversion"/>
  </si>
  <si>
    <t>제주노동기준조사센터</t>
    <phoneticPr fontId="22" type="noConversion"/>
  </si>
  <si>
    <t>제주산재예방감독팀</t>
    <phoneticPr fontId="22" type="noConversion"/>
  </si>
  <si>
    <t>전주지청</t>
    <phoneticPr fontId="22" type="noConversion"/>
  </si>
  <si>
    <t>전주고용센터</t>
    <phoneticPr fontId="22" type="noConversion"/>
  </si>
  <si>
    <t>정읍고용센터</t>
    <phoneticPr fontId="22" type="noConversion"/>
  </si>
  <si>
    <t>남원고용센터</t>
    <phoneticPr fontId="22" type="noConversion"/>
  </si>
  <si>
    <t>익산지청</t>
    <phoneticPr fontId="22" type="noConversion"/>
  </si>
  <si>
    <t>익산고용센터</t>
    <phoneticPr fontId="22" type="noConversion"/>
  </si>
  <si>
    <t>김제고용센터</t>
    <phoneticPr fontId="22" type="noConversion"/>
  </si>
  <si>
    <t>군산지청</t>
    <phoneticPr fontId="22" type="noConversion"/>
  </si>
  <si>
    <t>군산고용센터</t>
    <phoneticPr fontId="22" type="noConversion"/>
  </si>
  <si>
    <t>부안고용센터</t>
    <phoneticPr fontId="22" type="noConversion"/>
  </si>
  <si>
    <t>목포지청</t>
    <phoneticPr fontId="22" type="noConversion"/>
  </si>
  <si>
    <t>목포고용센터</t>
    <phoneticPr fontId="22" type="noConversion"/>
  </si>
  <si>
    <t>해남고용센터</t>
    <phoneticPr fontId="22" type="noConversion"/>
  </si>
  <si>
    <t>여수지청</t>
    <phoneticPr fontId="22" type="noConversion"/>
  </si>
  <si>
    <t>순천고용센터</t>
    <phoneticPr fontId="22" type="noConversion"/>
  </si>
  <si>
    <t>여수고용센터</t>
    <phoneticPr fontId="22" type="noConversion"/>
  </si>
  <si>
    <t>광양고용센터</t>
    <phoneticPr fontId="22" type="noConversion"/>
  </si>
  <si>
    <t>대전지방고용노동청</t>
    <phoneticPr fontId="22" type="noConversion"/>
  </si>
  <si>
    <t>대전고용센터</t>
    <phoneticPr fontId="22" type="noConversion"/>
  </si>
  <si>
    <t>공주고용센터</t>
    <phoneticPr fontId="22" type="noConversion"/>
  </si>
  <si>
    <t>세종고용센터</t>
    <phoneticPr fontId="22" type="noConversion"/>
  </si>
  <si>
    <t>논산고용센터</t>
    <phoneticPr fontId="22" type="noConversion"/>
  </si>
  <si>
    <t>청주지청</t>
    <phoneticPr fontId="22" type="noConversion"/>
  </si>
  <si>
    <t>청주고용센터</t>
    <phoneticPr fontId="22" type="noConversion"/>
  </si>
  <si>
    <t>옥천고용센터</t>
    <phoneticPr fontId="22" type="noConversion"/>
  </si>
  <si>
    <t>천안지청</t>
    <phoneticPr fontId="22" type="noConversion"/>
  </si>
  <si>
    <t>천안고용센터</t>
    <phoneticPr fontId="22" type="noConversion"/>
  </si>
  <si>
    <t>아산고용센터</t>
    <phoneticPr fontId="22" type="noConversion"/>
  </si>
  <si>
    <t>충주지청</t>
    <phoneticPr fontId="22" type="noConversion"/>
  </si>
  <si>
    <t>충주고용센터</t>
    <phoneticPr fontId="22" type="noConversion"/>
  </si>
  <si>
    <t>제천고용센터</t>
    <phoneticPr fontId="22" type="noConversion"/>
  </si>
  <si>
    <t>음성고용센터</t>
    <phoneticPr fontId="22" type="noConversion"/>
  </si>
  <si>
    <t>보령지청</t>
    <phoneticPr fontId="22" type="noConversion"/>
  </si>
  <si>
    <t>보령고용센터</t>
    <phoneticPr fontId="22" type="noConversion"/>
  </si>
  <si>
    <t>서산지청</t>
    <phoneticPr fontId="22" type="noConversion"/>
  </si>
  <si>
    <t>서산고용센터</t>
    <phoneticPr fontId="22" type="noConversion"/>
  </si>
  <si>
    <t>노동위원회</t>
  </si>
  <si>
    <t>중앙노동위원회</t>
  </si>
  <si>
    <t>상임위원</t>
  </si>
  <si>
    <t>사무처</t>
  </si>
  <si>
    <t>기획총괄과</t>
  </si>
  <si>
    <t>조정심판국</t>
  </si>
  <si>
    <t>조정과</t>
  </si>
  <si>
    <t>교섭대표결정과</t>
  </si>
  <si>
    <t>심판1과</t>
  </si>
  <si>
    <t>심판2과</t>
  </si>
  <si>
    <t>법무지원과</t>
  </si>
  <si>
    <t>상임위원2</t>
    <phoneticPr fontId="22" type="noConversion"/>
  </si>
  <si>
    <t>지방노동위원회</t>
  </si>
  <si>
    <t>부산지방노동위원회</t>
  </si>
  <si>
    <t>사무국</t>
  </si>
  <si>
    <t>심판과</t>
  </si>
  <si>
    <t>서울지방노동위원회</t>
  </si>
  <si>
    <t>심판3과</t>
    <phoneticPr fontId="22" type="noConversion"/>
  </si>
  <si>
    <t>상임위원3</t>
    <phoneticPr fontId="22" type="noConversion"/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</si>
  <si>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</si>
  <si>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</si>
  <si>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</si>
  <si>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</si>
  <si>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</si>
  <si>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</si>
  <si>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강원지방노동위원회</t>
  </si>
  <si>
    <t>울산지방노동위원회</t>
  </si>
  <si>
    <t>충북지방노동위원회</t>
  </si>
  <si>
    <t>전북지방노동위원회</t>
  </si>
  <si>
    <t>최저임금위원회</t>
  </si>
  <si>
    <t>산업재해보상보험재심사위원회</t>
  </si>
  <si>
    <t>고용노동부고객상담센터</t>
  </si>
  <si>
    <t>기획지원과</t>
  </si>
  <si>
    <t>전화상담과</t>
  </si>
  <si>
    <t>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</si>
</sst>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 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0" fillId="34" borderId="10" xfId="0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0" fillId="35" borderId="10" xfId="0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0" xfId="0" applyAlignment="1">
      <alignment vertical="center" shrinkToFit="1"/>
    </xf>
    <xf numFmtId="176" fontId="23" fillId="0" borderId="17" xfId="0" applyNumberFormat="1" applyFont="1" applyBorder="1" applyAlignment="1" applyProtection="1">
      <alignment horizontal="right" vertical="center" shrinkToFit="1"/>
      <protection locked="0"/>
    </xf>
    <xf numFmtId="176" fontId="23" fillId="0" borderId="17" xfId="0" applyNumberFormat="1" applyFont="1" applyBorder="1" applyAlignment="1">
      <alignment horizontal="right" vertical="center" shrinkToFit="1"/>
    </xf>
    <xf numFmtId="4" fontId="21" fillId="33" borderId="10" xfId="0" applyNumberFormat="1" applyFont="1" applyFill="1" applyBorder="1" applyAlignment="1">
      <alignment horizontal="right" vertical="center" wrapText="1"/>
    </xf>
    <xf numFmtId="4" fontId="21" fillId="34" borderId="10" xfId="0" applyNumberFormat="1" applyFont="1" applyFill="1" applyBorder="1" applyAlignment="1">
      <alignment horizontal="right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8" fillId="36" borderId="10" xfId="0" applyFont="1" applyFill="1" applyBorder="1" applyAlignment="1">
      <alignment horizontal="right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0" fillId="0" borderId="0" xfId="0" applyAlignment="1"/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17"/>
  <sheetViews>
    <sheetView showGridLines="0" tabSelected="1" zoomScale="85" zoomScaleNormal="85" workbookViewId="0">
      <selection activeCell="D18" sqref="D18"/>
    </sheetView>
  </sheetViews>
  <sheetFormatPr defaultRowHeight="16.5" x14ac:dyDescent="0.3"/>
  <cols>
    <col min="1" max="1" width="11" bestFit="1" customWidth="1"/>
    <col min="2" max="2" width="6.25" bestFit="1" customWidth="1"/>
    <col min="3" max="3" width="17.25" bestFit="1" customWidth="1"/>
    <col min="4" max="5" width="19.25" bestFit="1" customWidth="1"/>
    <col min="6" max="6" width="27.625" bestFit="1" customWidth="1"/>
    <col min="7" max="7" width="8" bestFit="1" customWidth="1"/>
    <col min="8" max="8" width="33.875" bestFit="1" customWidth="1"/>
    <col min="9" max="9" width="8.75" customWidth="1"/>
    <col min="10" max="10" width="11.375" customWidth="1"/>
    <col min="11" max="11" width="16.125" customWidth="1"/>
    <col min="12" max="12" width="9.625" customWidth="1"/>
    <col min="13" max="13" width="14.25" customWidth="1"/>
    <col min="14" max="14" width="36" customWidth="1"/>
    <col min="15" max="15" width="15" customWidth="1"/>
    <col min="16" max="19" width="8.75" customWidth="1"/>
    <col min="20" max="25" width="6.25" customWidth="1"/>
    <col min="26" max="78" width="8.75" customWidth="1"/>
  </cols>
  <sheetData>
    <row r="1" spans="1:78" ht="26.25" x14ac:dyDescent="0.3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s="1" t="s">
        <v>0</v>
      </c>
    </row>
    <row r="3" spans="1:78" ht="17.25" x14ac:dyDescent="0.3">
      <c r="G3" s="2" t="s">
        <v>1</v>
      </c>
    </row>
    <row r="4" spans="1:78" x14ac:dyDescent="0.3">
      <c r="Z4" s="17"/>
      <c r="AA4" s="17"/>
      <c r="AB4" s="17"/>
      <c r="AC4" s="17"/>
      <c r="AD4" s="17"/>
      <c r="AE4" s="17"/>
      <c r="AF4" s="17"/>
      <c r="AG4" s="17"/>
      <c r="AH4" s="17"/>
    </row>
    <row r="5" spans="1:78" x14ac:dyDescent="0.3">
      <c r="G5" s="3" t="s">
        <v>2</v>
      </c>
    </row>
    <row r="6" spans="1:78" x14ac:dyDescent="0.3">
      <c r="G6" s="31" t="s">
        <v>3</v>
      </c>
      <c r="H6" s="31" t="s">
        <v>4</v>
      </c>
      <c r="I6" s="31" t="s">
        <v>5</v>
      </c>
      <c r="J6" s="31" t="s">
        <v>6</v>
      </c>
      <c r="K6" s="31" t="s">
        <v>7</v>
      </c>
      <c r="L6" s="31" t="s">
        <v>8</v>
      </c>
      <c r="M6" s="31" t="s">
        <v>9</v>
      </c>
      <c r="N6" s="31" t="s">
        <v>10</v>
      </c>
      <c r="O6" s="31" t="s">
        <v>11</v>
      </c>
      <c r="P6" s="31" t="s">
        <v>12</v>
      </c>
      <c r="Q6" s="31" t="s">
        <v>13</v>
      </c>
      <c r="R6" s="31" t="s">
        <v>14</v>
      </c>
      <c r="S6" s="31" t="s">
        <v>15</v>
      </c>
      <c r="T6" s="34" t="s">
        <v>13</v>
      </c>
      <c r="U6" s="35"/>
      <c r="V6" s="36"/>
      <c r="W6" s="34" t="s">
        <v>14</v>
      </c>
      <c r="X6" s="35"/>
      <c r="Y6" s="36"/>
      <c r="Z6" s="34" t="s">
        <v>15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6"/>
    </row>
    <row r="7" spans="1:78" ht="48" customHeight="1" x14ac:dyDescent="0.3"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1" t="s">
        <v>16</v>
      </c>
      <c r="U7" s="31" t="s">
        <v>17</v>
      </c>
      <c r="V7" s="31" t="s">
        <v>18</v>
      </c>
      <c r="W7" s="31" t="s">
        <v>19</v>
      </c>
      <c r="X7" s="31" t="s">
        <v>20</v>
      </c>
      <c r="Y7" s="31" t="s">
        <v>21</v>
      </c>
      <c r="Z7" s="5" t="s">
        <v>22</v>
      </c>
      <c r="AA7" s="5" t="s">
        <v>22</v>
      </c>
      <c r="AB7" s="5" t="s">
        <v>22</v>
      </c>
      <c r="AC7" s="5" t="s">
        <v>23</v>
      </c>
      <c r="AD7" s="5" t="s">
        <v>24</v>
      </c>
      <c r="AE7" s="5" t="s">
        <v>24</v>
      </c>
      <c r="AF7" s="5" t="s">
        <v>24</v>
      </c>
      <c r="AG7" s="5" t="s">
        <v>25</v>
      </c>
      <c r="AH7" s="5" t="s">
        <v>25</v>
      </c>
      <c r="AI7" s="5" t="s">
        <v>25</v>
      </c>
      <c r="AJ7" s="5" t="s">
        <v>26</v>
      </c>
      <c r="AK7" s="5" t="s">
        <v>26</v>
      </c>
      <c r="AL7" s="5" t="s">
        <v>26</v>
      </c>
      <c r="AM7" s="5" t="s">
        <v>26</v>
      </c>
      <c r="AN7" s="5" t="s">
        <v>26</v>
      </c>
      <c r="AO7" s="5" t="s">
        <v>26</v>
      </c>
      <c r="AP7" s="5" t="s">
        <v>26</v>
      </c>
      <c r="AQ7" s="5" t="s">
        <v>27</v>
      </c>
      <c r="AR7" s="5" t="s">
        <v>28</v>
      </c>
      <c r="AS7" s="5" t="s">
        <v>28</v>
      </c>
      <c r="AT7" s="5" t="s">
        <v>28</v>
      </c>
      <c r="AU7" s="5" t="s">
        <v>28</v>
      </c>
      <c r="AV7" s="5" t="s">
        <v>28</v>
      </c>
      <c r="AW7" s="5" t="s">
        <v>28</v>
      </c>
      <c r="AX7" s="5" t="s">
        <v>28</v>
      </c>
      <c r="AY7" s="5" t="s">
        <v>28</v>
      </c>
      <c r="AZ7" s="5" t="s">
        <v>28</v>
      </c>
      <c r="BA7" s="5" t="s">
        <v>28</v>
      </c>
      <c r="BB7" s="5" t="s">
        <v>28</v>
      </c>
      <c r="BC7" s="5" t="s">
        <v>29</v>
      </c>
      <c r="BD7" s="5" t="s">
        <v>29</v>
      </c>
      <c r="BE7" s="5" t="s">
        <v>29</v>
      </c>
      <c r="BF7" s="5" t="s">
        <v>29</v>
      </c>
      <c r="BG7" s="5" t="s">
        <v>29</v>
      </c>
      <c r="BH7" s="5" t="s">
        <v>29</v>
      </c>
      <c r="BI7" s="5" t="s">
        <v>29</v>
      </c>
      <c r="BJ7" s="5" t="s">
        <v>29</v>
      </c>
      <c r="BK7" s="5" t="s">
        <v>29</v>
      </c>
      <c r="BL7" s="5" t="s">
        <v>29</v>
      </c>
      <c r="BM7" s="5" t="s">
        <v>30</v>
      </c>
      <c r="BN7" s="5" t="s">
        <v>30</v>
      </c>
      <c r="BO7" s="5" t="s">
        <v>30</v>
      </c>
      <c r="BP7" s="5" t="s">
        <v>30</v>
      </c>
      <c r="BQ7" s="5" t="s">
        <v>30</v>
      </c>
      <c r="BR7" s="5" t="s">
        <v>31</v>
      </c>
      <c r="BS7" s="5" t="s">
        <v>31</v>
      </c>
      <c r="BT7" s="5" t="s">
        <v>32</v>
      </c>
      <c r="BU7" s="5" t="s">
        <v>33</v>
      </c>
      <c r="BV7" s="5" t="s">
        <v>34</v>
      </c>
      <c r="BW7" s="5" t="s">
        <v>35</v>
      </c>
      <c r="BX7" s="5" t="s">
        <v>35</v>
      </c>
      <c r="BY7" s="5" t="s">
        <v>36</v>
      </c>
      <c r="BZ7" s="5" t="s">
        <v>37</v>
      </c>
    </row>
    <row r="8" spans="1:78" s="23" customFormat="1" ht="121.5" x14ac:dyDescent="0.3"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22" t="s">
        <v>38</v>
      </c>
      <c r="AA8" s="22" t="s">
        <v>39</v>
      </c>
      <c r="AB8" s="22" t="s">
        <v>40</v>
      </c>
      <c r="AC8" s="22" t="s">
        <v>41</v>
      </c>
      <c r="AD8" s="22" t="s">
        <v>42</v>
      </c>
      <c r="AE8" s="22" t="s">
        <v>43</v>
      </c>
      <c r="AF8" s="22" t="s">
        <v>44</v>
      </c>
      <c r="AG8" s="22" t="s">
        <v>45</v>
      </c>
      <c r="AH8" s="22" t="s">
        <v>46</v>
      </c>
      <c r="AI8" s="22" t="s">
        <v>47</v>
      </c>
      <c r="AJ8" s="22" t="s">
        <v>48</v>
      </c>
      <c r="AK8" s="22" t="s">
        <v>49</v>
      </c>
      <c r="AL8" s="22" t="s">
        <v>50</v>
      </c>
      <c r="AM8" s="22" t="s">
        <v>51</v>
      </c>
      <c r="AN8" s="22" t="s">
        <v>52</v>
      </c>
      <c r="AO8" s="22" t="s">
        <v>53</v>
      </c>
      <c r="AP8" s="22" t="s">
        <v>54</v>
      </c>
      <c r="AQ8" s="22" t="s">
        <v>55</v>
      </c>
      <c r="AR8" s="22" t="s">
        <v>56</v>
      </c>
      <c r="AS8" s="22" t="s">
        <v>57</v>
      </c>
      <c r="AT8" s="22" t="s">
        <v>58</v>
      </c>
      <c r="AU8" s="22" t="s">
        <v>59</v>
      </c>
      <c r="AV8" s="22" t="s">
        <v>60</v>
      </c>
      <c r="AW8" s="22" t="s">
        <v>61</v>
      </c>
      <c r="AX8" s="22" t="s">
        <v>62</v>
      </c>
      <c r="AY8" s="22" t="s">
        <v>63</v>
      </c>
      <c r="AZ8" s="22" t="s">
        <v>64</v>
      </c>
      <c r="BA8" s="22" t="s">
        <v>65</v>
      </c>
      <c r="BB8" s="22" t="s">
        <v>66</v>
      </c>
      <c r="BC8" s="22" t="s">
        <v>67</v>
      </c>
      <c r="BD8" s="22" t="s">
        <v>68</v>
      </c>
      <c r="BE8" s="22" t="s">
        <v>69</v>
      </c>
      <c r="BF8" s="22" t="s">
        <v>70</v>
      </c>
      <c r="BG8" s="22" t="s">
        <v>71</v>
      </c>
      <c r="BH8" s="22" t="s">
        <v>72</v>
      </c>
      <c r="BI8" s="22" t="s">
        <v>73</v>
      </c>
      <c r="BJ8" s="22" t="s">
        <v>74</v>
      </c>
      <c r="BK8" s="22" t="s">
        <v>222</v>
      </c>
      <c r="BL8" s="22" t="s">
        <v>75</v>
      </c>
      <c r="BM8" s="22" t="s">
        <v>76</v>
      </c>
      <c r="BN8" s="22" t="s">
        <v>77</v>
      </c>
      <c r="BO8" s="22" t="s">
        <v>78</v>
      </c>
      <c r="BP8" s="22" t="s">
        <v>79</v>
      </c>
      <c r="BQ8" s="22" t="s">
        <v>80</v>
      </c>
      <c r="BR8" s="22" t="s">
        <v>81</v>
      </c>
      <c r="BS8" s="22" t="s">
        <v>82</v>
      </c>
      <c r="BT8" s="22" t="s">
        <v>83</v>
      </c>
      <c r="BU8" s="22" t="s">
        <v>84</v>
      </c>
      <c r="BV8" s="22" t="s">
        <v>85</v>
      </c>
      <c r="BW8" s="22" t="s">
        <v>86</v>
      </c>
      <c r="BX8" s="22" t="s">
        <v>87</v>
      </c>
      <c r="BY8" s="22" t="s">
        <v>88</v>
      </c>
      <c r="BZ8" s="22" t="s">
        <v>89</v>
      </c>
    </row>
    <row r="9" spans="1:78" ht="16.5" customHeight="1" x14ac:dyDescent="0.3">
      <c r="G9" s="28" t="s">
        <v>90</v>
      </c>
      <c r="H9" s="29"/>
      <c r="I9" s="29"/>
      <c r="J9" s="29"/>
      <c r="K9" s="29"/>
      <c r="L9" s="29"/>
      <c r="M9" s="29"/>
      <c r="N9" s="29"/>
      <c r="O9" s="30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</row>
    <row r="10" spans="1:78" ht="16.5" customHeight="1" x14ac:dyDescent="0.3">
      <c r="G10" s="28" t="s">
        <v>91</v>
      </c>
      <c r="H10" s="29"/>
      <c r="I10" s="29"/>
      <c r="J10" s="29"/>
      <c r="K10" s="29"/>
      <c r="L10" s="29"/>
      <c r="M10" s="29"/>
      <c r="N10" s="29"/>
      <c r="O10" s="3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</row>
    <row r="11" spans="1:78" ht="16.5" customHeight="1" x14ac:dyDescent="0.3">
      <c r="A11" t="s">
        <v>573</v>
      </c>
      <c r="B11" t="s">
        <v>92</v>
      </c>
      <c r="C11" t="s">
        <v>574</v>
      </c>
      <c r="D11" t="s">
        <v>574</v>
      </c>
      <c r="E11" t="s">
        <v>574</v>
      </c>
      <c r="F11" t="s">
        <v>574</v>
      </c>
      <c r="G11" s="5">
        <v>1492001</v>
      </c>
      <c r="H11" s="7" t="s">
        <v>16</v>
      </c>
      <c r="I11" s="5" t="s">
        <v>92</v>
      </c>
      <c r="J11" s="5">
        <v>0</v>
      </c>
      <c r="K11" s="5" t="s">
        <v>93</v>
      </c>
      <c r="L11" s="5" t="s">
        <v>93</v>
      </c>
      <c r="M11" s="5" t="s">
        <v>94</v>
      </c>
      <c r="N11" s="5" t="s">
        <v>16</v>
      </c>
      <c r="O11" s="4"/>
      <c r="P11" s="8">
        <f>SUM(Q11,R11,S11)</f>
        <v>7</v>
      </c>
      <c r="Q11" s="8">
        <f>SUM(T11:V11)</f>
        <v>1</v>
      </c>
      <c r="R11" s="8">
        <f>SUM(W11:Y11)</f>
        <v>1</v>
      </c>
      <c r="S11" s="8">
        <f>SUM(Z11:BZ11)</f>
        <v>5</v>
      </c>
      <c r="T11" s="8">
        <v>1</v>
      </c>
      <c r="U11" s="8"/>
      <c r="V11" s="8"/>
      <c r="W11" s="8"/>
      <c r="X11" s="8"/>
      <c r="Y11" s="8">
        <v>1</v>
      </c>
      <c r="Z11" s="8"/>
      <c r="AA11" s="8"/>
      <c r="AB11" s="8"/>
      <c r="AC11" s="8"/>
      <c r="AD11" s="8"/>
      <c r="AE11" s="8"/>
      <c r="AF11" s="8"/>
      <c r="AG11" s="8">
        <v>2</v>
      </c>
      <c r="AH11" s="8"/>
      <c r="AI11" s="8"/>
      <c r="AJ11" s="8">
        <v>1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>
        <v>1</v>
      </c>
      <c r="BN11" s="8"/>
      <c r="BO11" s="8"/>
      <c r="BP11" s="8"/>
      <c r="BQ11" s="8"/>
      <c r="BR11" s="8">
        <v>1</v>
      </c>
      <c r="BS11" s="8"/>
      <c r="BT11" s="8"/>
      <c r="BU11" s="8"/>
      <c r="BV11" s="8"/>
      <c r="BW11" s="8"/>
      <c r="BX11" s="8"/>
      <c r="BY11" s="8"/>
      <c r="BZ11" s="8"/>
    </row>
    <row r="12" spans="1:78" ht="16.5" customHeight="1" x14ac:dyDescent="0.3">
      <c r="A12" t="s">
        <v>573</v>
      </c>
      <c r="B12" t="s">
        <v>92</v>
      </c>
      <c r="C12" t="s">
        <v>574</v>
      </c>
      <c r="D12" t="s">
        <v>574</v>
      </c>
      <c r="E12" t="s">
        <v>574</v>
      </c>
      <c r="F12" t="s">
        <v>574</v>
      </c>
      <c r="G12" s="5" t="s">
        <v>95</v>
      </c>
      <c r="H12" s="7" t="s">
        <v>96</v>
      </c>
      <c r="I12" s="5" t="s">
        <v>92</v>
      </c>
      <c r="J12" s="5">
        <v>0</v>
      </c>
      <c r="K12" s="5" t="s">
        <v>97</v>
      </c>
      <c r="L12" s="5" t="s">
        <v>98</v>
      </c>
      <c r="M12" s="5" t="s">
        <v>94</v>
      </c>
      <c r="N12" s="5" t="s">
        <v>99</v>
      </c>
      <c r="O12" s="4"/>
      <c r="P12" s="8">
        <f>SUM(Q12,R12,S12)</f>
        <v>1</v>
      </c>
      <c r="Q12" s="8">
        <f>SUM(T12:V12)</f>
        <v>0</v>
      </c>
      <c r="R12" s="8">
        <f>SUM(W12:Y12)</f>
        <v>1</v>
      </c>
      <c r="S12" s="8">
        <f>SUM(Z12:BZ12)</f>
        <v>0</v>
      </c>
      <c r="T12" s="8"/>
      <c r="U12" s="8"/>
      <c r="V12" s="8"/>
      <c r="W12" s="8"/>
      <c r="X12" s="8">
        <v>1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</row>
    <row r="13" spans="1:78" ht="16.5" customHeight="1" x14ac:dyDescent="0.3">
      <c r="A13" t="s">
        <v>573</v>
      </c>
      <c r="B13" t="s">
        <v>92</v>
      </c>
      <c r="C13" t="s">
        <v>574</v>
      </c>
      <c r="D13" t="s">
        <v>574</v>
      </c>
      <c r="E13" t="s">
        <v>574</v>
      </c>
      <c r="F13" t="s">
        <v>574</v>
      </c>
      <c r="G13" s="5">
        <v>1493690</v>
      </c>
      <c r="H13" s="7" t="s">
        <v>100</v>
      </c>
      <c r="I13" s="5" t="s">
        <v>92</v>
      </c>
      <c r="J13" s="5">
        <v>0</v>
      </c>
      <c r="K13" s="5" t="s">
        <v>97</v>
      </c>
      <c r="L13" s="5" t="s">
        <v>98</v>
      </c>
      <c r="M13" s="5" t="s">
        <v>94</v>
      </c>
      <c r="N13" s="5" t="s">
        <v>101</v>
      </c>
      <c r="O13" s="4"/>
      <c r="P13" s="8">
        <f>SUM(Q13,R13,S13)</f>
        <v>1</v>
      </c>
      <c r="Q13" s="8">
        <f>SUM(T13:V13)</f>
        <v>0</v>
      </c>
      <c r="R13" s="8">
        <f>SUM(W13:Y13)</f>
        <v>1</v>
      </c>
      <c r="S13" s="8">
        <f>SUM(Z13:BZ13)</f>
        <v>0</v>
      </c>
      <c r="T13" s="8"/>
      <c r="U13" s="8"/>
      <c r="V13" s="8"/>
      <c r="W13" s="8">
        <v>1</v>
      </c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</row>
    <row r="14" spans="1:78" ht="16.5" customHeight="1" x14ac:dyDescent="0.3">
      <c r="A14" t="s">
        <v>573</v>
      </c>
      <c r="B14" t="s">
        <v>92</v>
      </c>
      <c r="C14" t="s">
        <v>17</v>
      </c>
      <c r="D14" t="s">
        <v>575</v>
      </c>
      <c r="E14" t="s">
        <v>575</v>
      </c>
      <c r="F14" t="s">
        <v>575</v>
      </c>
      <c r="G14" s="5">
        <v>1492002</v>
      </c>
      <c r="H14" s="7" t="s">
        <v>17</v>
      </c>
      <c r="I14" s="5" t="s">
        <v>92</v>
      </c>
      <c r="J14" s="5">
        <v>0</v>
      </c>
      <c r="K14" s="5" t="s">
        <v>102</v>
      </c>
      <c r="L14" s="5" t="s">
        <v>103</v>
      </c>
      <c r="M14" s="5" t="s">
        <v>94</v>
      </c>
      <c r="N14" s="5" t="s">
        <v>17</v>
      </c>
      <c r="O14" s="4"/>
      <c r="P14" s="8">
        <f>SUM(Q14,R14,S14)</f>
        <v>4</v>
      </c>
      <c r="Q14" s="8">
        <f>SUM(T14:V14)</f>
        <v>1</v>
      </c>
      <c r="R14" s="8">
        <f>SUM(W14:Y14)</f>
        <v>1</v>
      </c>
      <c r="S14" s="8">
        <f>SUM(Z14:BZ14)</f>
        <v>2</v>
      </c>
      <c r="T14" s="8"/>
      <c r="U14" s="8">
        <v>1</v>
      </c>
      <c r="V14" s="8"/>
      <c r="W14" s="8"/>
      <c r="X14" s="8"/>
      <c r="Y14" s="8">
        <v>1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>
        <v>1</v>
      </c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>
        <v>1</v>
      </c>
      <c r="BS14" s="8"/>
      <c r="BT14" s="8"/>
      <c r="BU14" s="8"/>
      <c r="BV14" s="8"/>
      <c r="BW14" s="8"/>
      <c r="BX14" s="8"/>
      <c r="BY14" s="8"/>
      <c r="BZ14" s="8"/>
    </row>
    <row r="15" spans="1:78" ht="16.5" customHeight="1" x14ac:dyDescent="0.3">
      <c r="G15" s="10">
        <v>1493687</v>
      </c>
      <c r="H15" s="11" t="s">
        <v>104</v>
      </c>
      <c r="I15" s="10" t="s">
        <v>92</v>
      </c>
      <c r="J15" s="10">
        <v>0</v>
      </c>
      <c r="K15" s="10" t="s">
        <v>97</v>
      </c>
      <c r="L15" s="10" t="s">
        <v>105</v>
      </c>
      <c r="M15" s="10" t="s">
        <v>94</v>
      </c>
      <c r="N15" s="10" t="s">
        <v>106</v>
      </c>
      <c r="O15" s="9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</row>
    <row r="16" spans="1:78" ht="16.5" customHeight="1" x14ac:dyDescent="0.3">
      <c r="A16" t="s">
        <v>573</v>
      </c>
      <c r="B16" t="s">
        <v>92</v>
      </c>
      <c r="C16" t="s">
        <v>576</v>
      </c>
      <c r="D16" t="s">
        <v>576</v>
      </c>
      <c r="E16" t="s">
        <v>576</v>
      </c>
      <c r="F16" t="s">
        <v>576</v>
      </c>
      <c r="G16" s="5">
        <v>1493687</v>
      </c>
      <c r="H16" s="7" t="s">
        <v>107</v>
      </c>
      <c r="I16" s="5" t="s">
        <v>92</v>
      </c>
      <c r="J16" s="5">
        <v>0</v>
      </c>
      <c r="K16" s="5" t="s">
        <v>97</v>
      </c>
      <c r="L16" s="5" t="s">
        <v>105</v>
      </c>
      <c r="M16" s="5" t="s">
        <v>94</v>
      </c>
      <c r="N16" s="5" t="s">
        <v>106</v>
      </c>
      <c r="O16" s="4"/>
      <c r="P16" s="8">
        <f t="shared" ref="P16:P18" si="0">SUM(Q16,R16,S16)</f>
        <v>1</v>
      </c>
      <c r="Q16" s="8">
        <f t="shared" ref="Q16:Q18" si="1">SUM(T16:V16)</f>
        <v>0</v>
      </c>
      <c r="R16" s="8">
        <f t="shared" ref="R16:R18" si="2">SUM(W16:Y16)</f>
        <v>0</v>
      </c>
      <c r="S16" s="8">
        <f>SUM(Z16:BZ16)</f>
        <v>1</v>
      </c>
      <c r="T16" s="8"/>
      <c r="U16" s="8"/>
      <c r="V16" s="8"/>
      <c r="W16" s="8"/>
      <c r="X16" s="8"/>
      <c r="Y16" s="8"/>
      <c r="Z16" s="8">
        <v>1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</row>
    <row r="17" spans="1:78" ht="16.5" customHeight="1" x14ac:dyDescent="0.3">
      <c r="A17" t="s">
        <v>573</v>
      </c>
      <c r="B17" t="s">
        <v>92</v>
      </c>
      <c r="C17" t="s">
        <v>576</v>
      </c>
      <c r="D17" t="s">
        <v>576</v>
      </c>
      <c r="E17" t="s">
        <v>576</v>
      </c>
      <c r="F17" t="s">
        <v>577</v>
      </c>
      <c r="G17" s="5">
        <v>1492992</v>
      </c>
      <c r="H17" s="7" t="s">
        <v>108</v>
      </c>
      <c r="I17" s="5" t="s">
        <v>92</v>
      </c>
      <c r="J17" s="5">
        <v>0</v>
      </c>
      <c r="K17" s="5" t="s">
        <v>97</v>
      </c>
      <c r="L17" s="5" t="s">
        <v>109</v>
      </c>
      <c r="M17" s="5" t="s">
        <v>94</v>
      </c>
      <c r="N17" s="5" t="s">
        <v>110</v>
      </c>
      <c r="O17" s="4"/>
      <c r="P17" s="8">
        <f t="shared" si="0"/>
        <v>7</v>
      </c>
      <c r="Q17" s="8">
        <f t="shared" si="1"/>
        <v>0</v>
      </c>
      <c r="R17" s="8">
        <f t="shared" si="2"/>
        <v>0</v>
      </c>
      <c r="S17" s="8">
        <f>SUM(Z17:BZ17)</f>
        <v>7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>
        <v>1</v>
      </c>
      <c r="AF17" s="8"/>
      <c r="AG17" s="8"/>
      <c r="AH17" s="8"/>
      <c r="AI17" s="8"/>
      <c r="AJ17" s="8">
        <v>1</v>
      </c>
      <c r="AK17" s="8"/>
      <c r="AL17" s="8"/>
      <c r="AM17" s="8"/>
      <c r="AN17" s="8"/>
      <c r="AO17" s="8"/>
      <c r="AP17" s="8"/>
      <c r="AQ17" s="8">
        <v>2</v>
      </c>
      <c r="AR17" s="8"/>
      <c r="AS17" s="8"/>
      <c r="AT17" s="8">
        <v>1</v>
      </c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>
        <v>1</v>
      </c>
      <c r="BS17" s="8"/>
      <c r="BT17" s="8"/>
      <c r="BU17" s="8"/>
      <c r="BV17" s="8"/>
      <c r="BW17" s="8">
        <v>1</v>
      </c>
      <c r="BX17" s="8"/>
      <c r="BY17" s="8"/>
      <c r="BZ17" s="8"/>
    </row>
    <row r="18" spans="1:78" ht="16.5" customHeight="1" x14ac:dyDescent="0.3">
      <c r="A18" t="s">
        <v>573</v>
      </c>
      <c r="B18" t="s">
        <v>92</v>
      </c>
      <c r="C18" t="s">
        <v>576</v>
      </c>
      <c r="D18" t="s">
        <v>576</v>
      </c>
      <c r="E18" t="s">
        <v>576</v>
      </c>
      <c r="F18" t="s">
        <v>578</v>
      </c>
      <c r="G18" s="5">
        <v>1494930</v>
      </c>
      <c r="H18" s="7" t="s">
        <v>111</v>
      </c>
      <c r="I18" s="5" t="s">
        <v>92</v>
      </c>
      <c r="J18" s="5">
        <v>0</v>
      </c>
      <c r="K18" s="5" t="s">
        <v>97</v>
      </c>
      <c r="L18" s="5" t="s">
        <v>109</v>
      </c>
      <c r="M18" s="5" t="s">
        <v>112</v>
      </c>
      <c r="N18" s="5" t="s">
        <v>113</v>
      </c>
      <c r="O18" s="4"/>
      <c r="P18" s="8">
        <f t="shared" si="0"/>
        <v>6</v>
      </c>
      <c r="Q18" s="8">
        <f t="shared" si="1"/>
        <v>0</v>
      </c>
      <c r="R18" s="8">
        <f t="shared" si="2"/>
        <v>0</v>
      </c>
      <c r="S18" s="8">
        <f>SUM(Z18:BZ18)</f>
        <v>6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>
        <v>1</v>
      </c>
      <c r="AI18" s="8"/>
      <c r="AJ18" s="8"/>
      <c r="AK18" s="8"/>
      <c r="AL18" s="8"/>
      <c r="AM18" s="8"/>
      <c r="AN18" s="8"/>
      <c r="AO18" s="8"/>
      <c r="AP18" s="8"/>
      <c r="AQ18" s="8">
        <v>3</v>
      </c>
      <c r="AR18" s="8"/>
      <c r="AS18" s="8"/>
      <c r="AT18" s="8">
        <v>1</v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>
        <v>1</v>
      </c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 spans="1:78" ht="16.5" customHeight="1" x14ac:dyDescent="0.3">
      <c r="G19" s="10">
        <v>1492006</v>
      </c>
      <c r="H19" s="11" t="s">
        <v>114</v>
      </c>
      <c r="I19" s="10" t="s">
        <v>92</v>
      </c>
      <c r="J19" s="10">
        <v>0</v>
      </c>
      <c r="K19" s="10" t="s">
        <v>97</v>
      </c>
      <c r="L19" s="10" t="s">
        <v>115</v>
      </c>
      <c r="M19" s="10" t="s">
        <v>94</v>
      </c>
      <c r="N19" s="10" t="s">
        <v>116</v>
      </c>
      <c r="O19" s="9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pans="1:78" ht="16.5" customHeight="1" x14ac:dyDescent="0.3">
      <c r="A20" t="s">
        <v>573</v>
      </c>
      <c r="B20" t="s">
        <v>92</v>
      </c>
      <c r="C20" t="s">
        <v>579</v>
      </c>
      <c r="D20" t="s">
        <v>579</v>
      </c>
      <c r="E20" t="s">
        <v>579</v>
      </c>
      <c r="F20" t="s">
        <v>579</v>
      </c>
      <c r="G20" s="5">
        <v>1492006</v>
      </c>
      <c r="H20" s="7" t="s">
        <v>117</v>
      </c>
      <c r="I20" s="5" t="s">
        <v>92</v>
      </c>
      <c r="J20" s="5">
        <v>0</v>
      </c>
      <c r="K20" s="5" t="s">
        <v>97</v>
      </c>
      <c r="L20" s="5" t="s">
        <v>115</v>
      </c>
      <c r="M20" s="5" t="s">
        <v>94</v>
      </c>
      <c r="N20" s="5" t="s">
        <v>116</v>
      </c>
      <c r="O20" s="4"/>
      <c r="P20" s="8">
        <f t="shared" ref="P20:P22" si="3">SUM(Q20,R20,S20)</f>
        <v>1</v>
      </c>
      <c r="Q20" s="8">
        <f t="shared" ref="Q20:Q22" si="4">SUM(T20:V20)</f>
        <v>0</v>
      </c>
      <c r="R20" s="8">
        <f t="shared" ref="R20:R22" si="5">SUM(W20:Y20)</f>
        <v>0</v>
      </c>
      <c r="S20" s="8">
        <f>SUM(Z20:BZ20)</f>
        <v>1</v>
      </c>
      <c r="T20" s="8"/>
      <c r="U20" s="8"/>
      <c r="V20" s="8"/>
      <c r="W20" s="8"/>
      <c r="X20" s="8"/>
      <c r="Y20" s="8"/>
      <c r="Z20" s="8"/>
      <c r="AA20" s="8">
        <v>1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 spans="1:78" ht="16.5" customHeight="1" x14ac:dyDescent="0.3">
      <c r="A21" t="s">
        <v>573</v>
      </c>
      <c r="B21" t="s">
        <v>92</v>
      </c>
      <c r="C21" t="s">
        <v>579</v>
      </c>
      <c r="D21" t="s">
        <v>579</v>
      </c>
      <c r="E21" t="s">
        <v>579</v>
      </c>
      <c r="F21" t="s">
        <v>580</v>
      </c>
      <c r="G21" s="5">
        <v>1493631</v>
      </c>
      <c r="H21" s="7" t="s">
        <v>118</v>
      </c>
      <c r="I21" s="5" t="s">
        <v>92</v>
      </c>
      <c r="J21" s="5">
        <v>0</v>
      </c>
      <c r="K21" s="5" t="s">
        <v>97</v>
      </c>
      <c r="L21" s="5" t="s">
        <v>109</v>
      </c>
      <c r="M21" s="5" t="s">
        <v>94</v>
      </c>
      <c r="N21" s="5" t="s">
        <v>119</v>
      </c>
      <c r="O21" s="4"/>
      <c r="P21" s="8">
        <f t="shared" si="3"/>
        <v>17</v>
      </c>
      <c r="Q21" s="8">
        <f t="shared" si="4"/>
        <v>0</v>
      </c>
      <c r="R21" s="8">
        <f t="shared" si="5"/>
        <v>0</v>
      </c>
      <c r="S21" s="8">
        <f>SUM(Z21:BZ21)</f>
        <v>17</v>
      </c>
      <c r="T21" s="8"/>
      <c r="U21" s="8"/>
      <c r="V21" s="8"/>
      <c r="W21" s="8"/>
      <c r="X21" s="8"/>
      <c r="Y21" s="8"/>
      <c r="Z21" s="8"/>
      <c r="AA21" s="8"/>
      <c r="AB21" s="8"/>
      <c r="AC21" s="18"/>
      <c r="AD21" s="18"/>
      <c r="AE21" s="18">
        <v>1</v>
      </c>
      <c r="AF21" s="18"/>
      <c r="AG21" s="18"/>
      <c r="AH21" s="18"/>
      <c r="AI21" s="18"/>
      <c r="AJ21" s="19"/>
      <c r="AK21" s="18"/>
      <c r="AL21" s="18"/>
      <c r="AM21" s="18"/>
      <c r="AN21" s="18"/>
      <c r="AO21" s="18"/>
      <c r="AP21" s="18"/>
      <c r="AQ21" s="18">
        <f>(6+1)-1</f>
        <v>6</v>
      </c>
      <c r="AR21" s="18">
        <f>1-1</f>
        <v>0</v>
      </c>
      <c r="AS21" s="18"/>
      <c r="AT21" s="18">
        <f>8-1</f>
        <v>7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>
        <f>2+1</f>
        <v>3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</row>
    <row r="22" spans="1:78" ht="16.5" customHeight="1" x14ac:dyDescent="0.3">
      <c r="A22" t="s">
        <v>573</v>
      </c>
      <c r="B22" t="s">
        <v>92</v>
      </c>
      <c r="C22" t="s">
        <v>579</v>
      </c>
      <c r="D22" t="s">
        <v>579</v>
      </c>
      <c r="E22" t="s">
        <v>579</v>
      </c>
      <c r="F22" t="s">
        <v>581</v>
      </c>
      <c r="G22" s="5">
        <v>1493002</v>
      </c>
      <c r="H22" s="7" t="s">
        <v>120</v>
      </c>
      <c r="I22" s="5" t="s">
        <v>92</v>
      </c>
      <c r="J22" s="5">
        <v>0</v>
      </c>
      <c r="K22" s="5" t="s">
        <v>97</v>
      </c>
      <c r="L22" s="5" t="s">
        <v>109</v>
      </c>
      <c r="M22" s="5" t="s">
        <v>112</v>
      </c>
      <c r="N22" s="5" t="s">
        <v>113</v>
      </c>
      <c r="O22" s="4"/>
      <c r="P22" s="8">
        <f t="shared" si="3"/>
        <v>6</v>
      </c>
      <c r="Q22" s="8">
        <f t="shared" si="4"/>
        <v>0</v>
      </c>
      <c r="R22" s="8">
        <f t="shared" si="5"/>
        <v>0</v>
      </c>
      <c r="S22" s="8">
        <f>SUM(Z22:BZ22)</f>
        <v>6</v>
      </c>
      <c r="T22" s="8"/>
      <c r="U22" s="8"/>
      <c r="V22" s="8"/>
      <c r="W22" s="8"/>
      <c r="X22" s="8"/>
      <c r="Y22" s="8"/>
      <c r="Z22" s="8"/>
      <c r="AA22" s="8"/>
      <c r="AB22" s="8"/>
      <c r="AC22" s="18"/>
      <c r="AD22" s="18"/>
      <c r="AE22" s="18"/>
      <c r="AF22" s="18"/>
      <c r="AG22" s="18"/>
      <c r="AH22" s="18">
        <v>1</v>
      </c>
      <c r="AI22" s="18"/>
      <c r="AJ22" s="19"/>
      <c r="AK22" s="18"/>
      <c r="AL22" s="18"/>
      <c r="AM22" s="18"/>
      <c r="AN22" s="18"/>
      <c r="AO22" s="18"/>
      <c r="AP22" s="18"/>
      <c r="AQ22" s="18">
        <f>2-1</f>
        <v>1</v>
      </c>
      <c r="AR22" s="18"/>
      <c r="AS22" s="18"/>
      <c r="AT22" s="18">
        <v>1</v>
      </c>
      <c r="AU22" s="18"/>
      <c r="AV22" s="18"/>
      <c r="AW22" s="18"/>
      <c r="AX22" s="18"/>
      <c r="AY22" s="18"/>
      <c r="AZ22" s="18"/>
      <c r="BA22" s="18">
        <f>1-1</f>
        <v>0</v>
      </c>
      <c r="BB22" s="18"/>
      <c r="BC22" s="18"/>
      <c r="BD22" s="18"/>
      <c r="BE22" s="18">
        <v>2</v>
      </c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>
        <v>1</v>
      </c>
      <c r="BS22" s="18"/>
      <c r="BT22" s="18"/>
      <c r="BU22" s="18"/>
      <c r="BV22" s="18"/>
      <c r="BW22" s="18"/>
      <c r="BX22" s="18"/>
      <c r="BY22" s="18"/>
      <c r="BZ22" s="18"/>
    </row>
    <row r="23" spans="1:78" ht="16.5" customHeight="1" x14ac:dyDescent="0.3">
      <c r="G23" s="10">
        <v>1493633</v>
      </c>
      <c r="H23" s="11" t="s">
        <v>121</v>
      </c>
      <c r="I23" s="10" t="s">
        <v>92</v>
      </c>
      <c r="J23" s="10">
        <v>0</v>
      </c>
      <c r="K23" s="10" t="s">
        <v>97</v>
      </c>
      <c r="L23" s="10" t="s">
        <v>105</v>
      </c>
      <c r="M23" s="10" t="s">
        <v>94</v>
      </c>
      <c r="N23" s="10" t="s">
        <v>106</v>
      </c>
      <c r="O23" s="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spans="1:78" ht="16.5" customHeight="1" x14ac:dyDescent="0.3">
      <c r="A24" t="s">
        <v>573</v>
      </c>
      <c r="B24" t="s">
        <v>92</v>
      </c>
      <c r="C24" t="s">
        <v>17</v>
      </c>
      <c r="D24" t="s">
        <v>582</v>
      </c>
      <c r="E24" t="s">
        <v>582</v>
      </c>
      <c r="F24" t="s">
        <v>582</v>
      </c>
      <c r="G24" s="5">
        <v>1493633</v>
      </c>
      <c r="H24" s="7" t="s">
        <v>122</v>
      </c>
      <c r="I24" s="5" t="s">
        <v>92</v>
      </c>
      <c r="J24" s="5">
        <v>0</v>
      </c>
      <c r="K24" s="5" t="s">
        <v>97</v>
      </c>
      <c r="L24" s="5" t="s">
        <v>105</v>
      </c>
      <c r="M24" s="5" t="s">
        <v>94</v>
      </c>
      <c r="N24" s="5" t="s">
        <v>106</v>
      </c>
      <c r="O24" s="4"/>
      <c r="P24" s="8">
        <f>SUM(Q24,R24,S24)</f>
        <v>1</v>
      </c>
      <c r="Q24" s="8">
        <f>SUM(T24:V24)</f>
        <v>0</v>
      </c>
      <c r="R24" s="8">
        <f>SUM(W24:Y24)</f>
        <v>0</v>
      </c>
      <c r="S24" s="8">
        <f>SUM(Z24:BZ24)</f>
        <v>1</v>
      </c>
      <c r="T24" s="8"/>
      <c r="U24" s="8"/>
      <c r="V24" s="8"/>
      <c r="W24" s="8"/>
      <c r="X24" s="8"/>
      <c r="Y24" s="8"/>
      <c r="Z24" s="8">
        <v>1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 spans="1:78" ht="16.5" customHeight="1" x14ac:dyDescent="0.3">
      <c r="G25" s="14">
        <v>1493639</v>
      </c>
      <c r="H25" s="15" t="s">
        <v>123</v>
      </c>
      <c r="I25" s="14" t="s">
        <v>92</v>
      </c>
      <c r="J25" s="14">
        <v>0</v>
      </c>
      <c r="K25" s="14" t="s">
        <v>97</v>
      </c>
      <c r="L25" s="14" t="s">
        <v>115</v>
      </c>
      <c r="M25" s="14" t="s">
        <v>94</v>
      </c>
      <c r="N25" s="14" t="s">
        <v>116</v>
      </c>
      <c r="O25" s="13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</row>
    <row r="26" spans="1:78" ht="16.5" customHeight="1" x14ac:dyDescent="0.3">
      <c r="A26" t="s">
        <v>573</v>
      </c>
      <c r="B26" t="s">
        <v>92</v>
      </c>
      <c r="C26" t="s">
        <v>17</v>
      </c>
      <c r="D26" t="s">
        <v>582</v>
      </c>
      <c r="E26" t="s">
        <v>583</v>
      </c>
      <c r="F26" t="s">
        <v>583</v>
      </c>
      <c r="G26" s="5">
        <v>1493639</v>
      </c>
      <c r="H26" s="7" t="s">
        <v>124</v>
      </c>
      <c r="I26" s="5" t="s">
        <v>92</v>
      </c>
      <c r="J26" s="5">
        <v>0</v>
      </c>
      <c r="K26" s="5" t="s">
        <v>97</v>
      </c>
      <c r="L26" s="5" t="s">
        <v>115</v>
      </c>
      <c r="M26" s="5" t="s">
        <v>94</v>
      </c>
      <c r="N26" s="5" t="s">
        <v>116</v>
      </c>
      <c r="O26" s="4"/>
      <c r="P26" s="8">
        <f t="shared" ref="P26:P32" si="6">SUM(Q26,R26,S26)</f>
        <v>1</v>
      </c>
      <c r="Q26" s="8">
        <f t="shared" ref="Q26:Q32" si="7">SUM(T26:V26)</f>
        <v>0</v>
      </c>
      <c r="R26" s="8">
        <f t="shared" ref="R26:R32" si="8">SUM(W26:Y26)</f>
        <v>0</v>
      </c>
      <c r="S26" s="8">
        <f t="shared" ref="S26:S32" si="9">SUM(Z26:BZ26)</f>
        <v>1</v>
      </c>
      <c r="T26" s="8"/>
      <c r="U26" s="8"/>
      <c r="V26" s="8"/>
      <c r="W26" s="8"/>
      <c r="X26" s="8"/>
      <c r="Y26" s="8"/>
      <c r="Z26" s="8"/>
      <c r="AA26" s="8">
        <v>1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 spans="1:78" ht="16.5" customHeight="1" x14ac:dyDescent="0.3">
      <c r="A27" t="s">
        <v>573</v>
      </c>
      <c r="B27" t="s">
        <v>92</v>
      </c>
      <c r="C27" t="s">
        <v>17</v>
      </c>
      <c r="D27" t="s">
        <v>582</v>
      </c>
      <c r="E27" t="s">
        <v>583</v>
      </c>
      <c r="F27" t="s">
        <v>584</v>
      </c>
      <c r="G27" s="5">
        <v>1493663</v>
      </c>
      <c r="H27" s="7" t="s">
        <v>125</v>
      </c>
      <c r="I27" s="5" t="s">
        <v>92</v>
      </c>
      <c r="J27" s="5">
        <v>0</v>
      </c>
      <c r="K27" s="5" t="s">
        <v>97</v>
      </c>
      <c r="L27" s="5" t="s">
        <v>109</v>
      </c>
      <c r="M27" s="5" t="s">
        <v>94</v>
      </c>
      <c r="N27" s="5" t="s">
        <v>119</v>
      </c>
      <c r="O27" s="4"/>
      <c r="P27" s="8">
        <f t="shared" si="6"/>
        <v>16</v>
      </c>
      <c r="Q27" s="8">
        <f t="shared" si="7"/>
        <v>0</v>
      </c>
      <c r="R27" s="8">
        <f t="shared" si="8"/>
        <v>0</v>
      </c>
      <c r="S27" s="8">
        <f t="shared" si="9"/>
        <v>16</v>
      </c>
      <c r="T27" s="8"/>
      <c r="U27" s="8"/>
      <c r="V27" s="8"/>
      <c r="W27" s="8"/>
      <c r="X27" s="8"/>
      <c r="Y27" s="8"/>
      <c r="Z27" s="8"/>
      <c r="AA27" s="8"/>
      <c r="AB27" s="8"/>
      <c r="AC27" s="8">
        <v>1</v>
      </c>
      <c r="AD27" s="8"/>
      <c r="AE27" s="8"/>
      <c r="AF27" s="8"/>
      <c r="AG27" s="8"/>
      <c r="AH27" s="8">
        <v>1</v>
      </c>
      <c r="AI27" s="8"/>
      <c r="AJ27" s="8"/>
      <c r="AK27" s="8"/>
      <c r="AL27" s="8"/>
      <c r="AM27" s="8"/>
      <c r="AN27" s="8"/>
      <c r="AO27" s="8"/>
      <c r="AP27" s="8"/>
      <c r="AQ27" s="8">
        <v>5</v>
      </c>
      <c r="AR27" s="8"/>
      <c r="AS27" s="8"/>
      <c r="AT27" s="8">
        <v>4</v>
      </c>
      <c r="AU27" s="8"/>
      <c r="AV27" s="8"/>
      <c r="AW27" s="8"/>
      <c r="AX27" s="8"/>
      <c r="AY27" s="8"/>
      <c r="AZ27" s="8"/>
      <c r="BA27" s="8"/>
      <c r="BB27" s="8"/>
      <c r="BC27" s="8">
        <v>2</v>
      </c>
      <c r="BD27" s="8"/>
      <c r="BE27" s="8">
        <v>1</v>
      </c>
      <c r="BF27" s="8"/>
      <c r="BG27" s="8"/>
      <c r="BH27" s="8"/>
      <c r="BI27" s="8"/>
      <c r="BJ27" s="8"/>
      <c r="BK27" s="8"/>
      <c r="BL27" s="8"/>
      <c r="BM27" s="8"/>
      <c r="BN27" s="8">
        <v>1</v>
      </c>
      <c r="BO27" s="8"/>
      <c r="BP27" s="8"/>
      <c r="BQ27" s="8"/>
      <c r="BR27" s="8">
        <v>1</v>
      </c>
      <c r="BS27" s="8"/>
      <c r="BT27" s="8"/>
      <c r="BU27" s="8"/>
      <c r="BV27" s="8"/>
      <c r="BW27" s="8"/>
      <c r="BX27" s="8"/>
      <c r="BY27" s="8"/>
      <c r="BZ27" s="8"/>
    </row>
    <row r="28" spans="1:78" ht="16.5" customHeight="1" x14ac:dyDescent="0.3">
      <c r="A28" t="s">
        <v>573</v>
      </c>
      <c r="B28" t="s">
        <v>92</v>
      </c>
      <c r="C28" t="s">
        <v>17</v>
      </c>
      <c r="D28" t="s">
        <v>582</v>
      </c>
      <c r="E28" t="s">
        <v>583</v>
      </c>
      <c r="F28" t="s">
        <v>585</v>
      </c>
      <c r="G28" s="5">
        <v>1494914</v>
      </c>
      <c r="H28" s="7" t="s">
        <v>126</v>
      </c>
      <c r="I28" s="5" t="s">
        <v>92</v>
      </c>
      <c r="J28" s="5">
        <v>0</v>
      </c>
      <c r="K28" s="5" t="s">
        <v>97</v>
      </c>
      <c r="L28" s="5" t="s">
        <v>109</v>
      </c>
      <c r="M28" s="5" t="s">
        <v>94</v>
      </c>
      <c r="N28" s="5" t="s">
        <v>119</v>
      </c>
      <c r="O28" s="4"/>
      <c r="P28" s="8">
        <f t="shared" si="6"/>
        <v>11</v>
      </c>
      <c r="Q28" s="8">
        <f t="shared" si="7"/>
        <v>0</v>
      </c>
      <c r="R28" s="8">
        <f t="shared" si="8"/>
        <v>0</v>
      </c>
      <c r="S28" s="8">
        <f t="shared" si="9"/>
        <v>11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>
        <v>1</v>
      </c>
      <c r="AF28" s="8"/>
      <c r="AG28" s="8"/>
      <c r="AH28" s="8">
        <v>1</v>
      </c>
      <c r="AI28" s="8"/>
      <c r="AJ28" s="8"/>
      <c r="AK28" s="8"/>
      <c r="AL28" s="8"/>
      <c r="AM28" s="8"/>
      <c r="AN28" s="8"/>
      <c r="AO28" s="8"/>
      <c r="AP28" s="8">
        <v>0</v>
      </c>
      <c r="AQ28" s="8">
        <v>3</v>
      </c>
      <c r="AR28" s="8">
        <v>0</v>
      </c>
      <c r="AS28" s="8"/>
      <c r="AT28" s="8">
        <v>1</v>
      </c>
      <c r="AU28" s="8"/>
      <c r="AV28" s="8"/>
      <c r="AW28" s="8"/>
      <c r="AX28" s="8"/>
      <c r="AY28" s="8"/>
      <c r="AZ28" s="8"/>
      <c r="BA28" s="8">
        <v>3</v>
      </c>
      <c r="BB28" s="8"/>
      <c r="BC28" s="8">
        <v>0</v>
      </c>
      <c r="BD28" s="8"/>
      <c r="BE28" s="8">
        <v>2</v>
      </c>
      <c r="BF28" s="8"/>
      <c r="BG28" s="8">
        <v>0</v>
      </c>
      <c r="BH28" s="8"/>
      <c r="BI28" s="8"/>
      <c r="BJ28" s="8"/>
      <c r="BK28" s="8"/>
      <c r="BL28" s="8">
        <v>0</v>
      </c>
      <c r="BM28" s="8"/>
      <c r="BN28" s="8"/>
      <c r="BO28" s="8"/>
      <c r="BP28" s="8">
        <v>0</v>
      </c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 spans="1:78" ht="16.5" customHeight="1" x14ac:dyDescent="0.3">
      <c r="A29" t="s">
        <v>573</v>
      </c>
      <c r="B29" t="s">
        <v>92</v>
      </c>
      <c r="C29" t="s">
        <v>17</v>
      </c>
      <c r="D29" t="s">
        <v>582</v>
      </c>
      <c r="E29" t="s">
        <v>583</v>
      </c>
      <c r="F29" t="s">
        <v>586</v>
      </c>
      <c r="G29" s="5">
        <v>1493665</v>
      </c>
      <c r="H29" s="7" t="s">
        <v>127</v>
      </c>
      <c r="I29" s="5" t="s">
        <v>92</v>
      </c>
      <c r="J29" s="5">
        <v>0</v>
      </c>
      <c r="K29" s="5" t="s">
        <v>97</v>
      </c>
      <c r="L29" s="5" t="s">
        <v>109</v>
      </c>
      <c r="M29" s="5" t="s">
        <v>94</v>
      </c>
      <c r="N29" s="5" t="s">
        <v>119</v>
      </c>
      <c r="O29" s="4"/>
      <c r="P29" s="8">
        <f t="shared" si="6"/>
        <v>7</v>
      </c>
      <c r="Q29" s="8">
        <f t="shared" si="7"/>
        <v>0</v>
      </c>
      <c r="R29" s="8">
        <f t="shared" si="8"/>
        <v>0</v>
      </c>
      <c r="S29" s="8">
        <f t="shared" si="9"/>
        <v>7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>
        <v>1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>
        <v>3</v>
      </c>
      <c r="AR29" s="8"/>
      <c r="AS29" s="8"/>
      <c r="AT29" s="8">
        <v>1</v>
      </c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>
        <v>1</v>
      </c>
      <c r="BF29" s="8"/>
      <c r="BG29" s="8"/>
      <c r="BH29" s="8"/>
      <c r="BI29" s="8"/>
      <c r="BJ29" s="8"/>
      <c r="BK29" s="8"/>
      <c r="BL29" s="8"/>
      <c r="BM29" s="8"/>
      <c r="BN29" s="8">
        <v>1</v>
      </c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1:78" ht="16.5" customHeight="1" x14ac:dyDescent="0.3">
      <c r="A30" t="s">
        <v>573</v>
      </c>
      <c r="B30" t="s">
        <v>92</v>
      </c>
      <c r="C30" t="s">
        <v>17</v>
      </c>
      <c r="D30" t="s">
        <v>582</v>
      </c>
      <c r="E30" t="s">
        <v>583</v>
      </c>
      <c r="F30" t="s">
        <v>587</v>
      </c>
      <c r="G30" s="5">
        <v>1492867</v>
      </c>
      <c r="H30" s="7" t="s">
        <v>128</v>
      </c>
      <c r="I30" s="5" t="s">
        <v>92</v>
      </c>
      <c r="J30" s="5">
        <v>0</v>
      </c>
      <c r="K30" s="5" t="s">
        <v>97</v>
      </c>
      <c r="L30" s="5" t="s">
        <v>109</v>
      </c>
      <c r="M30" s="5" t="s">
        <v>94</v>
      </c>
      <c r="N30" s="5" t="s">
        <v>119</v>
      </c>
      <c r="O30" s="4"/>
      <c r="P30" s="8">
        <f t="shared" si="6"/>
        <v>7</v>
      </c>
      <c r="Q30" s="8">
        <f t="shared" si="7"/>
        <v>0</v>
      </c>
      <c r="R30" s="8">
        <f t="shared" si="8"/>
        <v>0</v>
      </c>
      <c r="S30" s="8">
        <f t="shared" si="9"/>
        <v>7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>
        <v>1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>
        <v>2</v>
      </c>
      <c r="AR30" s="8">
        <v>1</v>
      </c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>
        <v>2</v>
      </c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>
        <v>1</v>
      </c>
      <c r="BY30" s="8"/>
      <c r="BZ30" s="8"/>
    </row>
    <row r="31" spans="1:78" ht="16.5" customHeight="1" x14ac:dyDescent="0.3">
      <c r="A31" t="s">
        <v>573</v>
      </c>
      <c r="B31" t="s">
        <v>92</v>
      </c>
      <c r="C31" t="s">
        <v>17</v>
      </c>
      <c r="D31" t="s">
        <v>582</v>
      </c>
      <c r="E31" t="s">
        <v>583</v>
      </c>
      <c r="F31" t="s">
        <v>588</v>
      </c>
      <c r="G31" s="5">
        <v>1494694</v>
      </c>
      <c r="H31" s="7" t="s">
        <v>129</v>
      </c>
      <c r="I31" s="5" t="s">
        <v>92</v>
      </c>
      <c r="J31" s="5">
        <v>0</v>
      </c>
      <c r="K31" s="5" t="s">
        <v>97</v>
      </c>
      <c r="L31" s="5" t="s">
        <v>109</v>
      </c>
      <c r="M31" s="5" t="s">
        <v>94</v>
      </c>
      <c r="N31" s="5" t="s">
        <v>44</v>
      </c>
      <c r="O31" s="4"/>
      <c r="P31" s="8">
        <f t="shared" si="6"/>
        <v>4</v>
      </c>
      <c r="Q31" s="8">
        <f t="shared" si="7"/>
        <v>0</v>
      </c>
      <c r="R31" s="8">
        <f t="shared" si="8"/>
        <v>0</v>
      </c>
      <c r="S31" s="8">
        <f t="shared" si="9"/>
        <v>4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>
        <v>1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>
        <v>1</v>
      </c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>
        <v>0</v>
      </c>
      <c r="BS31" s="8"/>
      <c r="BT31" s="8"/>
      <c r="BU31" s="8"/>
      <c r="BV31" s="8">
        <v>1</v>
      </c>
      <c r="BW31" s="8"/>
      <c r="BX31" s="8"/>
      <c r="BY31" s="8">
        <v>1</v>
      </c>
      <c r="BZ31" s="8"/>
    </row>
    <row r="32" spans="1:78" ht="16.5" customHeight="1" x14ac:dyDescent="0.3">
      <c r="A32" t="s">
        <v>573</v>
      </c>
      <c r="B32" t="s">
        <v>92</v>
      </c>
      <c r="C32" t="s">
        <v>17</v>
      </c>
      <c r="D32" t="s">
        <v>582</v>
      </c>
      <c r="E32" t="s">
        <v>583</v>
      </c>
      <c r="F32" t="s">
        <v>589</v>
      </c>
      <c r="G32" s="5">
        <v>1493004</v>
      </c>
      <c r="H32" s="7" t="s">
        <v>130</v>
      </c>
      <c r="I32" s="5" t="s">
        <v>92</v>
      </c>
      <c r="J32" s="5">
        <v>0</v>
      </c>
      <c r="K32" s="5" t="s">
        <v>97</v>
      </c>
      <c r="L32" s="5" t="s">
        <v>109</v>
      </c>
      <c r="M32" s="5" t="s">
        <v>112</v>
      </c>
      <c r="N32" s="5" t="s">
        <v>113</v>
      </c>
      <c r="O32" s="4"/>
      <c r="P32" s="8">
        <f t="shared" si="6"/>
        <v>20</v>
      </c>
      <c r="Q32" s="8">
        <f t="shared" si="7"/>
        <v>0</v>
      </c>
      <c r="R32" s="8">
        <f t="shared" si="8"/>
        <v>0</v>
      </c>
      <c r="S32" s="8">
        <f t="shared" si="9"/>
        <v>20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>
        <v>1</v>
      </c>
      <c r="AJ32" s="8"/>
      <c r="AK32" s="8"/>
      <c r="AL32" s="8">
        <v>2</v>
      </c>
      <c r="AM32" s="8"/>
      <c r="AN32" s="8"/>
      <c r="AO32" s="8"/>
      <c r="AP32" s="8">
        <v>3</v>
      </c>
      <c r="AQ32" s="8">
        <v>2</v>
      </c>
      <c r="AR32" s="8">
        <v>0</v>
      </c>
      <c r="AS32" s="8"/>
      <c r="AT32" s="8"/>
      <c r="AU32" s="8"/>
      <c r="AV32" s="8"/>
      <c r="AW32" s="8"/>
      <c r="AX32" s="8"/>
      <c r="AY32" s="8"/>
      <c r="AZ32" s="8"/>
      <c r="BA32" s="8">
        <v>5</v>
      </c>
      <c r="BB32" s="8"/>
      <c r="BC32" s="8"/>
      <c r="BD32" s="8"/>
      <c r="BE32" s="8">
        <v>1</v>
      </c>
      <c r="BF32" s="8"/>
      <c r="BG32" s="8">
        <v>2</v>
      </c>
      <c r="BH32" s="8"/>
      <c r="BI32" s="8"/>
      <c r="BJ32" s="8"/>
      <c r="BK32" s="8"/>
      <c r="BL32" s="8">
        <v>2</v>
      </c>
      <c r="BM32" s="8"/>
      <c r="BN32" s="8"/>
      <c r="BO32" s="8"/>
      <c r="BP32" s="8">
        <v>2</v>
      </c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 spans="1:78" ht="16.5" customHeight="1" x14ac:dyDescent="0.3">
      <c r="G33" s="14">
        <v>1493640</v>
      </c>
      <c r="H33" s="15" t="s">
        <v>131</v>
      </c>
      <c r="I33" s="14" t="s">
        <v>92</v>
      </c>
      <c r="J33" s="14">
        <v>0</v>
      </c>
      <c r="K33" s="14" t="s">
        <v>97</v>
      </c>
      <c r="L33" s="14" t="s">
        <v>115</v>
      </c>
      <c r="M33" s="14" t="s">
        <v>94</v>
      </c>
      <c r="N33" s="14" t="s">
        <v>116</v>
      </c>
      <c r="O33" s="13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</row>
    <row r="34" spans="1:78" ht="16.5" customHeight="1" x14ac:dyDescent="0.3">
      <c r="A34" t="s">
        <v>573</v>
      </c>
      <c r="B34" t="s">
        <v>92</v>
      </c>
      <c r="C34" t="s">
        <v>17</v>
      </c>
      <c r="D34" t="s">
        <v>582</v>
      </c>
      <c r="E34" t="s">
        <v>590</v>
      </c>
      <c r="F34" t="s">
        <v>590</v>
      </c>
      <c r="G34" s="5">
        <v>1493640</v>
      </c>
      <c r="H34" s="7" t="s">
        <v>132</v>
      </c>
      <c r="I34" s="5" t="s">
        <v>92</v>
      </c>
      <c r="J34" s="5">
        <v>0</v>
      </c>
      <c r="K34" s="5" t="s">
        <v>97</v>
      </c>
      <c r="L34" s="5" t="s">
        <v>115</v>
      </c>
      <c r="M34" s="5" t="s">
        <v>94</v>
      </c>
      <c r="N34" s="5" t="s">
        <v>116</v>
      </c>
      <c r="O34" s="4"/>
      <c r="P34" s="8">
        <f t="shared" ref="P34:P37" si="10">SUM(Q34,R34,S34)</f>
        <v>1</v>
      </c>
      <c r="Q34" s="8">
        <f t="shared" ref="Q34:Q37" si="11">SUM(T34:V34)</f>
        <v>0</v>
      </c>
      <c r="R34" s="8">
        <f t="shared" ref="R34:R37" si="12">SUM(W34:Y34)</f>
        <v>0</v>
      </c>
      <c r="S34" s="8">
        <f>SUM(Z34:BZ34)</f>
        <v>1</v>
      </c>
      <c r="T34" s="8"/>
      <c r="U34" s="8"/>
      <c r="V34" s="8"/>
      <c r="W34" s="8"/>
      <c r="X34" s="8"/>
      <c r="Y34" s="8"/>
      <c r="Z34" s="8"/>
      <c r="AA34" s="8">
        <v>1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 spans="1:78" ht="16.5" customHeight="1" x14ac:dyDescent="0.3">
      <c r="A35" t="s">
        <v>573</v>
      </c>
      <c r="B35" t="s">
        <v>92</v>
      </c>
      <c r="C35" t="s">
        <v>17</v>
      </c>
      <c r="D35" t="s">
        <v>582</v>
      </c>
      <c r="E35" t="s">
        <v>590</v>
      </c>
      <c r="F35" t="s">
        <v>591</v>
      </c>
      <c r="G35" s="5">
        <v>1493667</v>
      </c>
      <c r="H35" s="7" t="s">
        <v>133</v>
      </c>
      <c r="I35" s="5" t="s">
        <v>92</v>
      </c>
      <c r="J35" s="5">
        <v>0</v>
      </c>
      <c r="K35" s="5" t="s">
        <v>97</v>
      </c>
      <c r="L35" s="5" t="s">
        <v>109</v>
      </c>
      <c r="M35" s="5" t="s">
        <v>94</v>
      </c>
      <c r="N35" s="5" t="s">
        <v>119</v>
      </c>
      <c r="O35" s="4"/>
      <c r="P35" s="8">
        <f t="shared" si="10"/>
        <v>11</v>
      </c>
      <c r="Q35" s="8">
        <f t="shared" si="11"/>
        <v>0</v>
      </c>
      <c r="R35" s="8">
        <f t="shared" si="12"/>
        <v>0</v>
      </c>
      <c r="S35" s="8">
        <f>SUM(Z35:BZ35)</f>
        <v>11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>
        <v>1</v>
      </c>
      <c r="AF35" s="8"/>
      <c r="AG35" s="8"/>
      <c r="AH35" s="8"/>
      <c r="AI35" s="8"/>
      <c r="AJ35" s="8">
        <v>2</v>
      </c>
      <c r="AK35" s="8"/>
      <c r="AL35" s="8"/>
      <c r="AM35" s="8"/>
      <c r="AN35" s="8"/>
      <c r="AO35" s="8"/>
      <c r="AP35" s="8"/>
      <c r="AQ35" s="8">
        <v>4</v>
      </c>
      <c r="AR35" s="8">
        <v>0</v>
      </c>
      <c r="AS35" s="8"/>
      <c r="AT35" s="8">
        <v>2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>
        <v>2</v>
      </c>
      <c r="BF35" s="8"/>
      <c r="BG35" s="8">
        <v>0</v>
      </c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1:78" ht="16.5" customHeight="1" x14ac:dyDescent="0.3">
      <c r="A36" t="s">
        <v>573</v>
      </c>
      <c r="B36" t="s">
        <v>92</v>
      </c>
      <c r="C36" t="s">
        <v>17</v>
      </c>
      <c r="D36" t="s">
        <v>582</v>
      </c>
      <c r="E36" t="s">
        <v>590</v>
      </c>
      <c r="F36" t="s">
        <v>592</v>
      </c>
      <c r="G36" s="5">
        <v>1494682</v>
      </c>
      <c r="H36" s="7" t="s">
        <v>134</v>
      </c>
      <c r="I36" s="5" t="s">
        <v>92</v>
      </c>
      <c r="J36" s="5">
        <v>0</v>
      </c>
      <c r="K36" s="5" t="s">
        <v>97</v>
      </c>
      <c r="L36" s="5" t="s">
        <v>109</v>
      </c>
      <c r="M36" s="5" t="s">
        <v>94</v>
      </c>
      <c r="N36" s="5" t="s">
        <v>119</v>
      </c>
      <c r="O36" s="4"/>
      <c r="P36" s="8">
        <f t="shared" si="10"/>
        <v>11</v>
      </c>
      <c r="Q36" s="8">
        <f t="shared" si="11"/>
        <v>0</v>
      </c>
      <c r="R36" s="8">
        <f t="shared" si="12"/>
        <v>0</v>
      </c>
      <c r="S36" s="8">
        <f>SUM(Z36:BZ36)</f>
        <v>11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>
        <v>1</v>
      </c>
      <c r="AF36" s="8"/>
      <c r="AG36" s="8"/>
      <c r="AH36" s="8"/>
      <c r="AI36" s="8"/>
      <c r="AJ36" s="8">
        <v>1</v>
      </c>
      <c r="AK36" s="8"/>
      <c r="AL36" s="8">
        <v>2</v>
      </c>
      <c r="AM36" s="8"/>
      <c r="AN36" s="8"/>
      <c r="AO36" s="8"/>
      <c r="AP36" s="8"/>
      <c r="AQ36" s="8">
        <v>3</v>
      </c>
      <c r="AR36" s="8"/>
      <c r="AS36" s="8"/>
      <c r="AT36" s="8">
        <v>2</v>
      </c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>
        <v>2</v>
      </c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 spans="1:78" ht="16.5" customHeight="1" x14ac:dyDescent="0.3">
      <c r="A37" t="s">
        <v>573</v>
      </c>
      <c r="B37" t="s">
        <v>92</v>
      </c>
      <c r="C37" t="s">
        <v>17</v>
      </c>
      <c r="D37" t="s">
        <v>582</v>
      </c>
      <c r="E37" t="s">
        <v>590</v>
      </c>
      <c r="F37" t="s">
        <v>593</v>
      </c>
      <c r="G37" s="5">
        <v>1493003</v>
      </c>
      <c r="H37" s="7" t="s">
        <v>135</v>
      </c>
      <c r="I37" s="5" t="s">
        <v>92</v>
      </c>
      <c r="J37" s="5">
        <v>0</v>
      </c>
      <c r="K37" s="5" t="s">
        <v>97</v>
      </c>
      <c r="L37" s="5" t="s">
        <v>109</v>
      </c>
      <c r="M37" s="5" t="s">
        <v>112</v>
      </c>
      <c r="N37" s="5" t="s">
        <v>113</v>
      </c>
      <c r="O37" s="4"/>
      <c r="P37" s="8">
        <f t="shared" si="10"/>
        <v>6</v>
      </c>
      <c r="Q37" s="8">
        <f t="shared" si="11"/>
        <v>0</v>
      </c>
      <c r="R37" s="8">
        <f t="shared" si="12"/>
        <v>0</v>
      </c>
      <c r="S37" s="8">
        <f>SUM(Z37:BZ37)</f>
        <v>6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>
        <v>1</v>
      </c>
      <c r="AI37" s="8"/>
      <c r="AJ37" s="8"/>
      <c r="AK37" s="8"/>
      <c r="AL37" s="8"/>
      <c r="AM37" s="8"/>
      <c r="AN37" s="8"/>
      <c r="AO37" s="8"/>
      <c r="AP37" s="8"/>
      <c r="AQ37" s="8">
        <v>3</v>
      </c>
      <c r="AR37" s="8">
        <v>0</v>
      </c>
      <c r="AS37" s="8"/>
      <c r="AT37" s="8">
        <v>0</v>
      </c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>
        <v>1</v>
      </c>
      <c r="BF37" s="8"/>
      <c r="BG37" s="8">
        <v>1</v>
      </c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1:78" ht="16.5" customHeight="1" x14ac:dyDescent="0.3">
      <c r="G38" s="10">
        <v>1493634</v>
      </c>
      <c r="H38" s="11" t="s">
        <v>136</v>
      </c>
      <c r="I38" s="10" t="s">
        <v>92</v>
      </c>
      <c r="J38" s="10">
        <v>0</v>
      </c>
      <c r="K38" s="10" t="s">
        <v>102</v>
      </c>
      <c r="L38" s="10" t="s">
        <v>105</v>
      </c>
      <c r="M38" s="10" t="s">
        <v>94</v>
      </c>
      <c r="N38" s="10" t="s">
        <v>106</v>
      </c>
      <c r="O38" s="9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ht="16.5" customHeight="1" x14ac:dyDescent="0.3">
      <c r="A39" t="s">
        <v>573</v>
      </c>
      <c r="B39" t="s">
        <v>92</v>
      </c>
      <c r="C39" t="s">
        <v>17</v>
      </c>
      <c r="D39" t="s">
        <v>594</v>
      </c>
      <c r="E39" t="s">
        <v>594</v>
      </c>
      <c r="F39" t="s">
        <v>594</v>
      </c>
      <c r="G39" s="5">
        <v>1493634</v>
      </c>
      <c r="H39" s="7" t="s">
        <v>137</v>
      </c>
      <c r="I39" s="5" t="s">
        <v>92</v>
      </c>
      <c r="J39" s="5">
        <v>0</v>
      </c>
      <c r="K39" s="5" t="s">
        <v>102</v>
      </c>
      <c r="L39" s="5" t="s">
        <v>105</v>
      </c>
      <c r="M39" s="5" t="s">
        <v>94</v>
      </c>
      <c r="N39" s="5" t="s">
        <v>106</v>
      </c>
      <c r="O39" s="4"/>
      <c r="P39" s="8">
        <f>SUM(Q39,R39,S39)</f>
        <v>1</v>
      </c>
      <c r="Q39" s="8">
        <f>SUM(T39:V39)</f>
        <v>0</v>
      </c>
      <c r="R39" s="8">
        <f>SUM(W39:Y39)</f>
        <v>0</v>
      </c>
      <c r="S39" s="8">
        <f>SUM(Z39:BZ39)</f>
        <v>1</v>
      </c>
      <c r="T39" s="8"/>
      <c r="U39" s="8"/>
      <c r="V39" s="8"/>
      <c r="W39" s="8"/>
      <c r="X39" s="8"/>
      <c r="Y39" s="8"/>
      <c r="Z39" s="8">
        <v>1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1:78" ht="16.5" customHeight="1" x14ac:dyDescent="0.3">
      <c r="G40" s="14">
        <v>1493862</v>
      </c>
      <c r="H40" s="15" t="s">
        <v>138</v>
      </c>
      <c r="I40" s="14" t="s">
        <v>92</v>
      </c>
      <c r="J40" s="14">
        <v>0</v>
      </c>
      <c r="K40" s="14" t="s">
        <v>97</v>
      </c>
      <c r="L40" s="14" t="s">
        <v>115</v>
      </c>
      <c r="M40" s="14" t="s">
        <v>94</v>
      </c>
      <c r="N40" s="14" t="s">
        <v>116</v>
      </c>
      <c r="O40" s="13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</row>
    <row r="41" spans="1:78" ht="16.5" customHeight="1" x14ac:dyDescent="0.3">
      <c r="A41" t="s">
        <v>573</v>
      </c>
      <c r="B41" t="s">
        <v>92</v>
      </c>
      <c r="C41" t="s">
        <v>17</v>
      </c>
      <c r="D41" t="s">
        <v>594</v>
      </c>
      <c r="E41" t="s">
        <v>595</v>
      </c>
      <c r="F41" t="s">
        <v>595</v>
      </c>
      <c r="G41" s="5">
        <v>1493862</v>
      </c>
      <c r="H41" s="7" t="s">
        <v>139</v>
      </c>
      <c r="I41" s="5" t="s">
        <v>92</v>
      </c>
      <c r="J41" s="5">
        <v>0</v>
      </c>
      <c r="K41" s="5" t="s">
        <v>97</v>
      </c>
      <c r="L41" s="5" t="s">
        <v>115</v>
      </c>
      <c r="M41" s="5" t="s">
        <v>94</v>
      </c>
      <c r="N41" s="5" t="s">
        <v>116</v>
      </c>
      <c r="O41" s="4"/>
      <c r="P41" s="8">
        <f t="shared" ref="P41:P44" si="13">SUM(Q41,R41,S41)</f>
        <v>1</v>
      </c>
      <c r="Q41" s="8">
        <f t="shared" ref="Q41:Q44" si="14">SUM(T41:V41)</f>
        <v>0</v>
      </c>
      <c r="R41" s="8">
        <f t="shared" ref="R41:R44" si="15">SUM(W41:Y41)</f>
        <v>0</v>
      </c>
      <c r="S41" s="8">
        <f>SUM(Z41:BZ41)</f>
        <v>1</v>
      </c>
      <c r="T41" s="8"/>
      <c r="U41" s="8"/>
      <c r="V41" s="8"/>
      <c r="W41" s="8"/>
      <c r="X41" s="8"/>
      <c r="Y41" s="8"/>
      <c r="Z41" s="8"/>
      <c r="AA41" s="8">
        <v>1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1:78" ht="16.5" customHeight="1" x14ac:dyDescent="0.3">
      <c r="A42" t="s">
        <v>573</v>
      </c>
      <c r="B42" t="s">
        <v>92</v>
      </c>
      <c r="C42" t="s">
        <v>17</v>
      </c>
      <c r="D42" t="s">
        <v>594</v>
      </c>
      <c r="E42" t="s">
        <v>595</v>
      </c>
      <c r="F42" t="s">
        <v>596</v>
      </c>
      <c r="G42" s="5">
        <v>1494580</v>
      </c>
      <c r="H42" s="7" t="s">
        <v>140</v>
      </c>
      <c r="I42" s="5" t="s">
        <v>92</v>
      </c>
      <c r="J42" s="5">
        <v>0</v>
      </c>
      <c r="K42" s="5" t="s">
        <v>102</v>
      </c>
      <c r="L42" s="5" t="s">
        <v>109</v>
      </c>
      <c r="M42" s="5" t="s">
        <v>94</v>
      </c>
      <c r="N42" s="5" t="s">
        <v>119</v>
      </c>
      <c r="O42" s="4"/>
      <c r="P42" s="8">
        <f t="shared" si="13"/>
        <v>11</v>
      </c>
      <c r="Q42" s="8">
        <f t="shared" si="14"/>
        <v>0</v>
      </c>
      <c r="R42" s="8">
        <f t="shared" si="15"/>
        <v>0</v>
      </c>
      <c r="S42" s="8">
        <f>SUM(Z42:BZ42)</f>
        <v>11</v>
      </c>
      <c r="T42" s="8"/>
      <c r="U42" s="8"/>
      <c r="V42" s="8"/>
      <c r="W42" s="8"/>
      <c r="X42" s="8"/>
      <c r="Y42" s="8"/>
      <c r="Z42" s="8"/>
      <c r="AA42" s="8"/>
      <c r="AB42" s="8"/>
      <c r="AC42" s="8">
        <v>1</v>
      </c>
      <c r="AD42" s="8"/>
      <c r="AE42" s="8"/>
      <c r="AF42" s="8"/>
      <c r="AG42" s="8">
        <v>1</v>
      </c>
      <c r="AH42" s="8"/>
      <c r="AI42" s="8"/>
      <c r="AJ42" s="8">
        <v>3</v>
      </c>
      <c r="AK42" s="8">
        <v>1</v>
      </c>
      <c r="AL42" s="8"/>
      <c r="AM42" s="8"/>
      <c r="AN42" s="8"/>
      <c r="AO42" s="8"/>
      <c r="AP42" s="8"/>
      <c r="AQ42" s="8">
        <v>2</v>
      </c>
      <c r="AR42" s="8">
        <v>1</v>
      </c>
      <c r="AS42" s="8"/>
      <c r="AT42" s="8">
        <v>1</v>
      </c>
      <c r="AU42" s="8"/>
      <c r="AV42" s="8"/>
      <c r="AW42" s="8"/>
      <c r="AX42" s="8"/>
      <c r="AY42" s="8"/>
      <c r="AZ42" s="8"/>
      <c r="BA42" s="8"/>
      <c r="BB42" s="8"/>
      <c r="BC42" s="8">
        <v>0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>
        <v>1</v>
      </c>
      <c r="BS42" s="8"/>
      <c r="BT42" s="8"/>
      <c r="BU42" s="8"/>
      <c r="BV42" s="8"/>
      <c r="BW42" s="8"/>
      <c r="BX42" s="8"/>
      <c r="BY42" s="8"/>
      <c r="BZ42" s="8"/>
    </row>
    <row r="43" spans="1:78" ht="16.5" customHeight="1" x14ac:dyDescent="0.3">
      <c r="A43" t="s">
        <v>573</v>
      </c>
      <c r="B43" t="s">
        <v>92</v>
      </c>
      <c r="C43" t="s">
        <v>17</v>
      </c>
      <c r="D43" t="s">
        <v>594</v>
      </c>
      <c r="E43" t="s">
        <v>595</v>
      </c>
      <c r="F43" t="s">
        <v>597</v>
      </c>
      <c r="G43" s="5">
        <v>1494734</v>
      </c>
      <c r="H43" s="7" t="s">
        <v>141</v>
      </c>
      <c r="I43" s="5" t="s">
        <v>92</v>
      </c>
      <c r="J43" s="5">
        <v>0</v>
      </c>
      <c r="K43" s="5" t="s">
        <v>102</v>
      </c>
      <c r="L43" s="5" t="s">
        <v>109</v>
      </c>
      <c r="M43" s="5" t="s">
        <v>94</v>
      </c>
      <c r="N43" s="5" t="s">
        <v>119</v>
      </c>
      <c r="O43" s="4"/>
      <c r="P43" s="8">
        <f t="shared" si="13"/>
        <v>10</v>
      </c>
      <c r="Q43" s="8">
        <f t="shared" si="14"/>
        <v>0</v>
      </c>
      <c r="R43" s="8">
        <f t="shared" si="15"/>
        <v>0</v>
      </c>
      <c r="S43" s="8">
        <f>SUM(Z43:BZ43)</f>
        <v>10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>
        <v>1</v>
      </c>
      <c r="AF43" s="8"/>
      <c r="AG43" s="8">
        <v>1</v>
      </c>
      <c r="AH43" s="8"/>
      <c r="AI43" s="8"/>
      <c r="AJ43" s="8">
        <v>4</v>
      </c>
      <c r="AK43" s="8"/>
      <c r="AL43" s="8"/>
      <c r="AM43" s="8"/>
      <c r="AN43" s="8"/>
      <c r="AO43" s="8"/>
      <c r="AP43" s="8"/>
      <c r="AQ43" s="8">
        <v>0</v>
      </c>
      <c r="AR43" s="8">
        <v>2</v>
      </c>
      <c r="AS43" s="8">
        <v>0</v>
      </c>
      <c r="AT43" s="8"/>
      <c r="AU43" s="8"/>
      <c r="AV43" s="8"/>
      <c r="AW43" s="8"/>
      <c r="AX43" s="8"/>
      <c r="AY43" s="8"/>
      <c r="AZ43" s="8"/>
      <c r="BA43" s="8"/>
      <c r="BB43" s="8"/>
      <c r="BC43" s="8">
        <v>2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1:78" ht="16.5" customHeight="1" x14ac:dyDescent="0.3">
      <c r="A44" t="s">
        <v>573</v>
      </c>
      <c r="B44" t="s">
        <v>92</v>
      </c>
      <c r="C44" t="s">
        <v>17</v>
      </c>
      <c r="D44" t="s">
        <v>594</v>
      </c>
      <c r="E44" t="s">
        <v>595</v>
      </c>
      <c r="F44" t="s">
        <v>598</v>
      </c>
      <c r="G44" s="5">
        <v>1492970</v>
      </c>
      <c r="H44" s="7" t="s">
        <v>142</v>
      </c>
      <c r="I44" s="5" t="s">
        <v>92</v>
      </c>
      <c r="J44" s="5">
        <v>0</v>
      </c>
      <c r="K44" s="5" t="s">
        <v>102</v>
      </c>
      <c r="L44" s="5" t="s">
        <v>109</v>
      </c>
      <c r="M44" s="5" t="s">
        <v>94</v>
      </c>
      <c r="N44" s="5" t="s">
        <v>119</v>
      </c>
      <c r="O44" s="4"/>
      <c r="P44" s="8">
        <f t="shared" si="13"/>
        <v>9</v>
      </c>
      <c r="Q44" s="8">
        <f t="shared" si="14"/>
        <v>0</v>
      </c>
      <c r="R44" s="8">
        <f t="shared" si="15"/>
        <v>0</v>
      </c>
      <c r="S44" s="8">
        <f>SUM(Z44:BZ44)</f>
        <v>9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>
        <v>1</v>
      </c>
      <c r="AF44" s="8"/>
      <c r="AG44" s="8">
        <v>1</v>
      </c>
      <c r="AH44" s="8"/>
      <c r="AI44" s="8"/>
      <c r="AJ44" s="8">
        <v>2</v>
      </c>
      <c r="AK44" s="8">
        <v>1</v>
      </c>
      <c r="AL44" s="8">
        <v>1</v>
      </c>
      <c r="AM44" s="8"/>
      <c r="AN44" s="8"/>
      <c r="AO44" s="8"/>
      <c r="AP44" s="8"/>
      <c r="AQ44" s="8"/>
      <c r="AR44" s="8">
        <v>1</v>
      </c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>
        <v>2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 spans="1:78" ht="16.5" customHeight="1" x14ac:dyDescent="0.3">
      <c r="G45" s="14">
        <v>1493724</v>
      </c>
      <c r="H45" s="15" t="s">
        <v>143</v>
      </c>
      <c r="I45" s="14" t="s">
        <v>92</v>
      </c>
      <c r="J45" s="14">
        <v>0</v>
      </c>
      <c r="K45" s="14" t="s">
        <v>97</v>
      </c>
      <c r="L45" s="14" t="s">
        <v>115</v>
      </c>
      <c r="M45" s="14" t="s">
        <v>94</v>
      </c>
      <c r="N45" s="14" t="s">
        <v>116</v>
      </c>
      <c r="O45" s="1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</row>
    <row r="46" spans="1:78" ht="16.5" customHeight="1" x14ac:dyDescent="0.3">
      <c r="A46" t="s">
        <v>573</v>
      </c>
      <c r="B46" t="s">
        <v>92</v>
      </c>
      <c r="C46" t="s">
        <v>17</v>
      </c>
      <c r="D46" t="s">
        <v>594</v>
      </c>
      <c r="E46" t="s">
        <v>599</v>
      </c>
      <c r="F46" t="s">
        <v>599</v>
      </c>
      <c r="G46" s="5">
        <v>1493724</v>
      </c>
      <c r="H46" s="7" t="s">
        <v>144</v>
      </c>
      <c r="I46" s="5" t="s">
        <v>92</v>
      </c>
      <c r="J46" s="5">
        <v>0</v>
      </c>
      <c r="K46" s="5" t="s">
        <v>97</v>
      </c>
      <c r="L46" s="5" t="s">
        <v>115</v>
      </c>
      <c r="M46" s="5" t="s">
        <v>94</v>
      </c>
      <c r="N46" s="5" t="s">
        <v>116</v>
      </c>
      <c r="O46" s="4"/>
      <c r="P46" s="8">
        <f t="shared" ref="P46:P51" si="16">SUM(Q46,R46,S46)</f>
        <v>1</v>
      </c>
      <c r="Q46" s="8">
        <f t="shared" ref="Q46:Q51" si="17">SUM(T46:V46)</f>
        <v>0</v>
      </c>
      <c r="R46" s="8">
        <f t="shared" ref="R46:R51" si="18">SUM(W46:Y46)</f>
        <v>0</v>
      </c>
      <c r="S46" s="8">
        <f t="shared" ref="S46:S51" si="19">SUM(Z46:BZ46)</f>
        <v>1</v>
      </c>
      <c r="T46" s="8"/>
      <c r="U46" s="8"/>
      <c r="V46" s="8"/>
      <c r="W46" s="8"/>
      <c r="X46" s="8"/>
      <c r="Y46" s="8"/>
      <c r="Z46" s="8"/>
      <c r="AA46" s="8">
        <v>1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 spans="1:78" ht="16.5" customHeight="1" x14ac:dyDescent="0.3">
      <c r="A47" t="s">
        <v>573</v>
      </c>
      <c r="B47" t="s">
        <v>92</v>
      </c>
      <c r="C47" t="s">
        <v>17</v>
      </c>
      <c r="D47" t="s">
        <v>594</v>
      </c>
      <c r="E47" t="s">
        <v>599</v>
      </c>
      <c r="F47" t="s">
        <v>600</v>
      </c>
      <c r="G47" s="5">
        <v>1493729</v>
      </c>
      <c r="H47" s="7" t="s">
        <v>145</v>
      </c>
      <c r="I47" s="5" t="s">
        <v>92</v>
      </c>
      <c r="J47" s="5">
        <v>0</v>
      </c>
      <c r="K47" s="5" t="s">
        <v>102</v>
      </c>
      <c r="L47" s="5" t="s">
        <v>109</v>
      </c>
      <c r="M47" s="5" t="s">
        <v>94</v>
      </c>
      <c r="N47" s="5" t="s">
        <v>119</v>
      </c>
      <c r="O47" s="4"/>
      <c r="P47" s="8">
        <f t="shared" si="16"/>
        <v>13</v>
      </c>
      <c r="Q47" s="8">
        <f t="shared" si="17"/>
        <v>0</v>
      </c>
      <c r="R47" s="8">
        <f t="shared" si="18"/>
        <v>0</v>
      </c>
      <c r="S47" s="8">
        <f t="shared" si="19"/>
        <v>13</v>
      </c>
      <c r="T47" s="8"/>
      <c r="U47" s="8"/>
      <c r="V47" s="8"/>
      <c r="W47" s="8"/>
      <c r="X47" s="8"/>
      <c r="Y47" s="8"/>
      <c r="Z47" s="8"/>
      <c r="AA47" s="8"/>
      <c r="AB47" s="8"/>
      <c r="AC47" s="8">
        <v>1</v>
      </c>
      <c r="AD47" s="8"/>
      <c r="AE47" s="8"/>
      <c r="AF47" s="8"/>
      <c r="AG47" s="8">
        <v>1</v>
      </c>
      <c r="AH47" s="8"/>
      <c r="AI47" s="8"/>
      <c r="AJ47" s="8">
        <v>5</v>
      </c>
      <c r="AK47" s="8"/>
      <c r="AL47" s="8"/>
      <c r="AM47" s="8"/>
      <c r="AN47" s="8"/>
      <c r="AO47" s="8"/>
      <c r="AP47" s="8"/>
      <c r="AQ47" s="8">
        <v>0</v>
      </c>
      <c r="AR47" s="8">
        <v>1</v>
      </c>
      <c r="AS47" s="8"/>
      <c r="AT47" s="8"/>
      <c r="AU47" s="8"/>
      <c r="AV47" s="8"/>
      <c r="AW47" s="8"/>
      <c r="AX47" s="8"/>
      <c r="AY47" s="8">
        <v>1</v>
      </c>
      <c r="AZ47" s="8"/>
      <c r="BA47" s="8"/>
      <c r="BB47" s="8"/>
      <c r="BC47" s="8">
        <v>3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>
        <v>1</v>
      </c>
      <c r="BS47" s="8"/>
      <c r="BT47" s="8"/>
      <c r="BU47" s="8"/>
      <c r="BV47" s="8"/>
      <c r="BW47" s="8"/>
      <c r="BX47" s="8"/>
      <c r="BY47" s="8"/>
      <c r="BZ47" s="8"/>
    </row>
    <row r="48" spans="1:78" ht="16.5" customHeight="1" x14ac:dyDescent="0.3">
      <c r="A48" t="s">
        <v>573</v>
      </c>
      <c r="B48" t="s">
        <v>92</v>
      </c>
      <c r="C48" t="s">
        <v>17</v>
      </c>
      <c r="D48" t="s">
        <v>594</v>
      </c>
      <c r="E48" t="s">
        <v>599</v>
      </c>
      <c r="F48" t="s">
        <v>601</v>
      </c>
      <c r="G48" s="5">
        <v>1494581</v>
      </c>
      <c r="H48" s="7" t="s">
        <v>146</v>
      </c>
      <c r="I48" s="5" t="s">
        <v>92</v>
      </c>
      <c r="J48" s="5">
        <v>0</v>
      </c>
      <c r="K48" s="5" t="s">
        <v>102</v>
      </c>
      <c r="L48" s="5" t="s">
        <v>109</v>
      </c>
      <c r="M48" s="5" t="s">
        <v>94</v>
      </c>
      <c r="N48" s="5" t="s">
        <v>119</v>
      </c>
      <c r="O48" s="4"/>
      <c r="P48" s="8">
        <f t="shared" si="16"/>
        <v>9</v>
      </c>
      <c r="Q48" s="8">
        <f t="shared" si="17"/>
        <v>0</v>
      </c>
      <c r="R48" s="8">
        <f t="shared" si="18"/>
        <v>0</v>
      </c>
      <c r="S48" s="8">
        <f t="shared" si="19"/>
        <v>9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>
        <v>1</v>
      </c>
      <c r="AF48" s="8"/>
      <c r="AG48" s="8">
        <v>1</v>
      </c>
      <c r="AH48" s="8"/>
      <c r="AI48" s="8"/>
      <c r="AJ48" s="8">
        <v>4</v>
      </c>
      <c r="AK48" s="8"/>
      <c r="AL48" s="8"/>
      <c r="AM48" s="8"/>
      <c r="AN48" s="8"/>
      <c r="AO48" s="8"/>
      <c r="AP48" s="8"/>
      <c r="AQ48" s="8"/>
      <c r="AR48" s="8">
        <v>1</v>
      </c>
      <c r="AS48" s="8"/>
      <c r="AT48" s="8"/>
      <c r="AU48" s="8">
        <v>1</v>
      </c>
      <c r="AV48" s="8"/>
      <c r="AW48" s="8"/>
      <c r="AX48" s="8"/>
      <c r="AY48" s="8"/>
      <c r="AZ48" s="8"/>
      <c r="BA48" s="8"/>
      <c r="BB48" s="8"/>
      <c r="BC48" s="8">
        <v>1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 spans="1:78" ht="16.5" customHeight="1" x14ac:dyDescent="0.3">
      <c r="A49" t="s">
        <v>573</v>
      </c>
      <c r="B49" t="s">
        <v>92</v>
      </c>
      <c r="C49" t="s">
        <v>17</v>
      </c>
      <c r="D49" t="s">
        <v>594</v>
      </c>
      <c r="E49" t="s">
        <v>599</v>
      </c>
      <c r="F49" t="s">
        <v>602</v>
      </c>
      <c r="G49" s="5">
        <v>1493730</v>
      </c>
      <c r="H49" s="7" t="s">
        <v>147</v>
      </c>
      <c r="I49" s="5" t="s">
        <v>92</v>
      </c>
      <c r="J49" s="5">
        <v>0</v>
      </c>
      <c r="K49" s="5" t="s">
        <v>102</v>
      </c>
      <c r="L49" s="5" t="s">
        <v>109</v>
      </c>
      <c r="M49" s="5" t="s">
        <v>94</v>
      </c>
      <c r="N49" s="5" t="s">
        <v>119</v>
      </c>
      <c r="O49" s="4"/>
      <c r="P49" s="8">
        <f t="shared" si="16"/>
        <v>11</v>
      </c>
      <c r="Q49" s="8">
        <f t="shared" si="17"/>
        <v>0</v>
      </c>
      <c r="R49" s="8">
        <f t="shared" si="18"/>
        <v>0</v>
      </c>
      <c r="S49" s="8">
        <f t="shared" si="19"/>
        <v>11</v>
      </c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>
        <v>1</v>
      </c>
      <c r="AF49" s="8"/>
      <c r="AG49" s="8"/>
      <c r="AH49" s="8"/>
      <c r="AI49" s="8"/>
      <c r="AJ49" s="8">
        <v>5</v>
      </c>
      <c r="AK49" s="8"/>
      <c r="AL49" s="8"/>
      <c r="AM49" s="8"/>
      <c r="AN49" s="8"/>
      <c r="AO49" s="8"/>
      <c r="AP49" s="8"/>
      <c r="AQ49" s="8">
        <v>1</v>
      </c>
      <c r="AR49" s="8">
        <v>2</v>
      </c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>
        <v>1</v>
      </c>
      <c r="BJ49" s="8">
        <v>1</v>
      </c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1:78" ht="16.5" customHeight="1" x14ac:dyDescent="0.3">
      <c r="A50" t="s">
        <v>573</v>
      </c>
      <c r="B50" t="s">
        <v>92</v>
      </c>
      <c r="C50" t="s">
        <v>17</v>
      </c>
      <c r="D50" t="s">
        <v>594</v>
      </c>
      <c r="E50" t="s">
        <v>599</v>
      </c>
      <c r="F50" t="s">
        <v>603</v>
      </c>
      <c r="G50" s="5">
        <v>1494693</v>
      </c>
      <c r="H50" s="7" t="s">
        <v>148</v>
      </c>
      <c r="I50" s="5" t="s">
        <v>92</v>
      </c>
      <c r="J50" s="5">
        <v>0</v>
      </c>
      <c r="K50" s="5" t="s">
        <v>102</v>
      </c>
      <c r="L50" s="5" t="s">
        <v>109</v>
      </c>
      <c r="M50" s="5" t="s">
        <v>112</v>
      </c>
      <c r="N50" s="5" t="s">
        <v>113</v>
      </c>
      <c r="O50" s="4"/>
      <c r="P50" s="8">
        <f t="shared" si="16"/>
        <v>7</v>
      </c>
      <c r="Q50" s="8">
        <f t="shared" si="17"/>
        <v>0</v>
      </c>
      <c r="R50" s="8">
        <f t="shared" si="18"/>
        <v>0</v>
      </c>
      <c r="S50" s="8">
        <f t="shared" si="19"/>
        <v>7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>
        <v>1</v>
      </c>
      <c r="AH50" s="8"/>
      <c r="AI50" s="8"/>
      <c r="AJ50" s="8">
        <v>3</v>
      </c>
      <c r="AK50" s="8"/>
      <c r="AL50" s="8"/>
      <c r="AM50" s="8"/>
      <c r="AN50" s="8"/>
      <c r="AO50" s="8"/>
      <c r="AP50" s="8"/>
      <c r="AQ50" s="8"/>
      <c r="AR50" s="8">
        <v>1</v>
      </c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>
        <v>1</v>
      </c>
      <c r="BD50" s="8"/>
      <c r="BE50" s="8"/>
      <c r="BF50" s="8"/>
      <c r="BG50" s="8">
        <v>1</v>
      </c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 spans="1:78" ht="16.5" customHeight="1" x14ac:dyDescent="0.3">
      <c r="A51" t="s">
        <v>573</v>
      </c>
      <c r="B51" t="s">
        <v>92</v>
      </c>
      <c r="C51" t="s">
        <v>17</v>
      </c>
      <c r="D51" t="s">
        <v>594</v>
      </c>
      <c r="E51" t="s">
        <v>599</v>
      </c>
      <c r="F51" t="s">
        <v>604</v>
      </c>
      <c r="G51" s="5">
        <v>1492889</v>
      </c>
      <c r="H51" s="7" t="s">
        <v>149</v>
      </c>
      <c r="I51" s="5" t="s">
        <v>92</v>
      </c>
      <c r="J51" s="5">
        <v>0</v>
      </c>
      <c r="K51" s="5" t="s">
        <v>102</v>
      </c>
      <c r="L51" s="5" t="s">
        <v>109</v>
      </c>
      <c r="M51" s="5" t="s">
        <v>112</v>
      </c>
      <c r="N51" s="5" t="s">
        <v>113</v>
      </c>
      <c r="O51" s="4"/>
      <c r="P51" s="8">
        <f t="shared" si="16"/>
        <v>6</v>
      </c>
      <c r="Q51" s="8">
        <f t="shared" si="17"/>
        <v>0</v>
      </c>
      <c r="R51" s="8">
        <f t="shared" si="18"/>
        <v>0</v>
      </c>
      <c r="S51" s="8">
        <f t="shared" si="19"/>
        <v>6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>
        <v>1</v>
      </c>
      <c r="AH51" s="8"/>
      <c r="AI51" s="8"/>
      <c r="AJ51" s="8">
        <v>3</v>
      </c>
      <c r="AK51" s="8"/>
      <c r="AL51" s="8"/>
      <c r="AM51" s="8"/>
      <c r="AN51" s="8"/>
      <c r="AO51" s="8"/>
      <c r="AP51" s="8"/>
      <c r="AQ51" s="8"/>
      <c r="AR51" s="8">
        <v>0</v>
      </c>
      <c r="AS51" s="8"/>
      <c r="AT51" s="8">
        <v>1</v>
      </c>
      <c r="AU51" s="8"/>
      <c r="AV51" s="8"/>
      <c r="AW51" s="8"/>
      <c r="AX51" s="8"/>
      <c r="AY51" s="8"/>
      <c r="AZ51" s="8"/>
      <c r="BA51" s="8">
        <v>1</v>
      </c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1:78" ht="16.5" customHeight="1" x14ac:dyDescent="0.3">
      <c r="G52" s="14">
        <v>1494937</v>
      </c>
      <c r="H52" s="15" t="s">
        <v>150</v>
      </c>
      <c r="I52" s="14" t="s">
        <v>92</v>
      </c>
      <c r="J52" s="14">
        <v>0</v>
      </c>
      <c r="K52" s="14" t="s">
        <v>97</v>
      </c>
      <c r="L52" s="14" t="s">
        <v>115</v>
      </c>
      <c r="M52" s="14" t="s">
        <v>94</v>
      </c>
      <c r="N52" s="14" t="s">
        <v>116</v>
      </c>
      <c r="O52" s="13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</row>
    <row r="53" spans="1:78" ht="16.5" customHeight="1" x14ac:dyDescent="0.3">
      <c r="A53" t="s">
        <v>573</v>
      </c>
      <c r="B53" t="s">
        <v>92</v>
      </c>
      <c r="C53" t="s">
        <v>17</v>
      </c>
      <c r="D53" t="s">
        <v>594</v>
      </c>
      <c r="E53" t="s">
        <v>605</v>
      </c>
      <c r="F53" t="s">
        <v>605</v>
      </c>
      <c r="G53" s="5">
        <v>1494937</v>
      </c>
      <c r="H53" s="7" t="s">
        <v>151</v>
      </c>
      <c r="I53" s="5" t="s">
        <v>92</v>
      </c>
      <c r="J53" s="5">
        <v>0</v>
      </c>
      <c r="K53" s="5" t="s">
        <v>97</v>
      </c>
      <c r="L53" s="5" t="s">
        <v>115</v>
      </c>
      <c r="M53" s="5" t="s">
        <v>94</v>
      </c>
      <c r="N53" s="5" t="s">
        <v>116</v>
      </c>
      <c r="O53" s="4"/>
      <c r="P53" s="8">
        <f t="shared" ref="P53:P57" si="20">SUM(Q53,R53,S53)</f>
        <v>1</v>
      </c>
      <c r="Q53" s="8">
        <f t="shared" ref="Q53:Q57" si="21">SUM(T53:V53)</f>
        <v>0</v>
      </c>
      <c r="R53" s="8">
        <f t="shared" ref="R53:R57" si="22">SUM(W53:Y53)</f>
        <v>0</v>
      </c>
      <c r="S53" s="8">
        <f>SUM(Z53:BZ53)</f>
        <v>1</v>
      </c>
      <c r="T53" s="8"/>
      <c r="U53" s="8"/>
      <c r="V53" s="8"/>
      <c r="W53" s="8"/>
      <c r="X53" s="8"/>
      <c r="Y53" s="8"/>
      <c r="Z53" s="8"/>
      <c r="AA53" s="8">
        <v>1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1:78" ht="16.5" customHeight="1" x14ac:dyDescent="0.3">
      <c r="A54" t="s">
        <v>573</v>
      </c>
      <c r="B54" t="s">
        <v>92</v>
      </c>
      <c r="C54" t="s">
        <v>17</v>
      </c>
      <c r="D54" t="s">
        <v>594</v>
      </c>
      <c r="E54" t="s">
        <v>605</v>
      </c>
      <c r="F54" t="s">
        <v>606</v>
      </c>
      <c r="G54" s="5">
        <v>1494941</v>
      </c>
      <c r="H54" s="7" t="s">
        <v>152</v>
      </c>
      <c r="I54" s="5" t="s">
        <v>92</v>
      </c>
      <c r="J54" s="5">
        <v>0</v>
      </c>
      <c r="K54" s="5" t="s">
        <v>102</v>
      </c>
      <c r="L54" s="5" t="s">
        <v>109</v>
      </c>
      <c r="M54" s="5" t="s">
        <v>94</v>
      </c>
      <c r="N54" s="5" t="s">
        <v>119</v>
      </c>
      <c r="O54" s="4"/>
      <c r="P54" s="8">
        <f t="shared" si="20"/>
        <v>11</v>
      </c>
      <c r="Q54" s="8">
        <f t="shared" si="21"/>
        <v>0</v>
      </c>
      <c r="R54" s="8">
        <f t="shared" si="22"/>
        <v>0</v>
      </c>
      <c r="S54" s="8">
        <f>SUM(Z54:BZ54)</f>
        <v>11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>
        <v>1</v>
      </c>
      <c r="AF54" s="8"/>
      <c r="AG54" s="8"/>
      <c r="AH54" s="8"/>
      <c r="AI54" s="8"/>
      <c r="AJ54" s="8">
        <v>2</v>
      </c>
      <c r="AK54" s="8">
        <v>1</v>
      </c>
      <c r="AL54" s="8">
        <v>1</v>
      </c>
      <c r="AM54" s="8"/>
      <c r="AN54" s="8"/>
      <c r="AO54" s="8"/>
      <c r="AP54" s="8"/>
      <c r="AQ54" s="8">
        <v>1</v>
      </c>
      <c r="AR54" s="8"/>
      <c r="AS54" s="8">
        <v>2</v>
      </c>
      <c r="AT54" s="8">
        <v>1</v>
      </c>
      <c r="AU54" s="8"/>
      <c r="AV54" s="8"/>
      <c r="AW54" s="8"/>
      <c r="AX54" s="8">
        <v>1</v>
      </c>
      <c r="AY54" s="8"/>
      <c r="AZ54" s="8"/>
      <c r="BA54" s="8"/>
      <c r="BB54" s="8"/>
      <c r="BC54" s="8"/>
      <c r="BD54" s="8"/>
      <c r="BE54" s="8">
        <v>1</v>
      </c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 spans="1:78" ht="16.5" customHeight="1" x14ac:dyDescent="0.3">
      <c r="A55" t="s">
        <v>573</v>
      </c>
      <c r="B55" t="s">
        <v>92</v>
      </c>
      <c r="C55" t="s">
        <v>17</v>
      </c>
      <c r="D55" t="s">
        <v>594</v>
      </c>
      <c r="E55" t="s">
        <v>605</v>
      </c>
      <c r="F55" t="s">
        <v>607</v>
      </c>
      <c r="G55" s="5">
        <v>1494946</v>
      </c>
      <c r="H55" s="7" t="s">
        <v>153</v>
      </c>
      <c r="I55" s="5" t="s">
        <v>92</v>
      </c>
      <c r="J55" s="5">
        <v>0</v>
      </c>
      <c r="K55" s="5" t="s">
        <v>102</v>
      </c>
      <c r="L55" s="5" t="s">
        <v>109</v>
      </c>
      <c r="M55" s="5" t="s">
        <v>94</v>
      </c>
      <c r="N55" s="5" t="s">
        <v>119</v>
      </c>
      <c r="O55" s="4"/>
      <c r="P55" s="8">
        <f t="shared" si="20"/>
        <v>14</v>
      </c>
      <c r="Q55" s="8">
        <f t="shared" si="21"/>
        <v>0</v>
      </c>
      <c r="R55" s="8">
        <f t="shared" si="22"/>
        <v>0</v>
      </c>
      <c r="S55" s="8">
        <f>SUM(Z55:BZ55)</f>
        <v>14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>
        <v>1</v>
      </c>
      <c r="AE55" s="8"/>
      <c r="AF55" s="8"/>
      <c r="AG55" s="8"/>
      <c r="AH55" s="8">
        <v>1</v>
      </c>
      <c r="AI55" s="8"/>
      <c r="AJ55" s="8">
        <v>6</v>
      </c>
      <c r="AK55" s="8"/>
      <c r="AL55" s="8">
        <v>2</v>
      </c>
      <c r="AM55" s="8"/>
      <c r="AN55" s="8"/>
      <c r="AO55" s="8"/>
      <c r="AP55" s="8"/>
      <c r="AQ55" s="8"/>
      <c r="AR55" s="8">
        <v>1</v>
      </c>
      <c r="AS55" s="8">
        <v>1</v>
      </c>
      <c r="AT55" s="8"/>
      <c r="AU55" s="8"/>
      <c r="AV55" s="8"/>
      <c r="AW55" s="8"/>
      <c r="AX55" s="8"/>
      <c r="AY55" s="8"/>
      <c r="AZ55" s="8"/>
      <c r="BA55" s="8"/>
      <c r="BB55" s="8"/>
      <c r="BC55" s="8">
        <v>2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 spans="1:78" ht="16.5" customHeight="1" x14ac:dyDescent="0.3">
      <c r="A56" t="s">
        <v>573</v>
      </c>
      <c r="B56" t="s">
        <v>92</v>
      </c>
      <c r="C56" t="s">
        <v>17</v>
      </c>
      <c r="D56" t="s">
        <v>594</v>
      </c>
      <c r="E56" t="s">
        <v>605</v>
      </c>
      <c r="F56" t="s">
        <v>608</v>
      </c>
      <c r="G56" s="5">
        <v>1494948</v>
      </c>
      <c r="H56" s="7" t="s">
        <v>154</v>
      </c>
      <c r="I56" s="5" t="s">
        <v>92</v>
      </c>
      <c r="J56" s="5">
        <v>0</v>
      </c>
      <c r="K56" s="5" t="s">
        <v>102</v>
      </c>
      <c r="L56" s="5" t="s">
        <v>109</v>
      </c>
      <c r="M56" s="5" t="s">
        <v>94</v>
      </c>
      <c r="N56" s="5" t="s">
        <v>119</v>
      </c>
      <c r="O56" s="4"/>
      <c r="P56" s="8">
        <f t="shared" si="20"/>
        <v>9</v>
      </c>
      <c r="Q56" s="8">
        <f t="shared" si="21"/>
        <v>0</v>
      </c>
      <c r="R56" s="8">
        <f t="shared" si="22"/>
        <v>0</v>
      </c>
      <c r="S56" s="8">
        <f>SUM(Z56:BZ56)</f>
        <v>9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>
        <v>1</v>
      </c>
      <c r="AF56" s="8"/>
      <c r="AG56" s="8"/>
      <c r="AH56" s="8"/>
      <c r="AI56" s="8"/>
      <c r="AJ56" s="8"/>
      <c r="AK56" s="8">
        <v>1</v>
      </c>
      <c r="AL56" s="8"/>
      <c r="AM56" s="8">
        <v>2</v>
      </c>
      <c r="AN56" s="8"/>
      <c r="AO56" s="8"/>
      <c r="AP56" s="8"/>
      <c r="AQ56" s="8">
        <v>1</v>
      </c>
      <c r="AR56" s="8"/>
      <c r="AS56" s="8"/>
      <c r="AT56" s="8"/>
      <c r="AU56" s="8"/>
      <c r="AV56" s="8">
        <v>0</v>
      </c>
      <c r="AW56" s="8">
        <v>2</v>
      </c>
      <c r="AX56" s="8">
        <v>0</v>
      </c>
      <c r="AY56" s="8"/>
      <c r="AZ56" s="8"/>
      <c r="BA56" s="8"/>
      <c r="BB56" s="8"/>
      <c r="BC56" s="8"/>
      <c r="BD56" s="8">
        <v>1</v>
      </c>
      <c r="BE56" s="8">
        <v>0</v>
      </c>
      <c r="BF56" s="8"/>
      <c r="BG56" s="8"/>
      <c r="BH56" s="8">
        <v>1</v>
      </c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</row>
    <row r="57" spans="1:78" ht="16.5" customHeight="1" x14ac:dyDescent="0.3">
      <c r="A57" t="s">
        <v>573</v>
      </c>
      <c r="B57" t="s">
        <v>92</v>
      </c>
      <c r="C57" t="s">
        <v>17</v>
      </c>
      <c r="D57" t="s">
        <v>594</v>
      </c>
      <c r="E57" t="s">
        <v>605</v>
      </c>
      <c r="F57" t="s">
        <v>609</v>
      </c>
      <c r="G57" s="5">
        <v>1494951</v>
      </c>
      <c r="H57" s="7" t="s">
        <v>155</v>
      </c>
      <c r="I57" s="5" t="s">
        <v>92</v>
      </c>
      <c r="J57" s="5">
        <v>0</v>
      </c>
      <c r="K57" s="5" t="s">
        <v>102</v>
      </c>
      <c r="L57" s="5" t="s">
        <v>109</v>
      </c>
      <c r="M57" s="5" t="s">
        <v>94</v>
      </c>
      <c r="N57" s="5" t="s">
        <v>119</v>
      </c>
      <c r="O57" s="4"/>
      <c r="P57" s="8">
        <f t="shared" si="20"/>
        <v>15</v>
      </c>
      <c r="Q57" s="8">
        <f t="shared" si="21"/>
        <v>0</v>
      </c>
      <c r="R57" s="8">
        <f t="shared" si="22"/>
        <v>0</v>
      </c>
      <c r="S57" s="8">
        <f>SUM(Z57:BZ57)</f>
        <v>15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>
        <v>1</v>
      </c>
      <c r="AF57" s="8"/>
      <c r="AG57" s="8"/>
      <c r="AH57" s="8"/>
      <c r="AI57" s="8"/>
      <c r="AJ57" s="8"/>
      <c r="AK57" s="8">
        <v>1</v>
      </c>
      <c r="AL57" s="8"/>
      <c r="AM57" s="8">
        <v>2</v>
      </c>
      <c r="AN57" s="8"/>
      <c r="AO57" s="8"/>
      <c r="AP57" s="8"/>
      <c r="AQ57" s="8">
        <v>1</v>
      </c>
      <c r="AR57" s="8">
        <v>0</v>
      </c>
      <c r="AS57" s="8">
        <v>2</v>
      </c>
      <c r="AT57" s="8"/>
      <c r="AU57" s="8"/>
      <c r="AV57" s="8"/>
      <c r="AW57" s="8">
        <v>2</v>
      </c>
      <c r="AX57" s="8">
        <v>1</v>
      </c>
      <c r="AY57" s="8"/>
      <c r="AZ57" s="8"/>
      <c r="BA57" s="8"/>
      <c r="BB57" s="8"/>
      <c r="BC57" s="8"/>
      <c r="BD57" s="8"/>
      <c r="BE57" s="8"/>
      <c r="BF57" s="8"/>
      <c r="BG57" s="8"/>
      <c r="BH57" s="8">
        <v>5</v>
      </c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 spans="1:78" ht="16.5" customHeight="1" x14ac:dyDescent="0.3">
      <c r="G58" s="10">
        <v>1494931</v>
      </c>
      <c r="H58" s="11" t="s">
        <v>156</v>
      </c>
      <c r="I58" s="10" t="s">
        <v>92</v>
      </c>
      <c r="J58" s="10">
        <v>0</v>
      </c>
      <c r="K58" s="10" t="s">
        <v>102</v>
      </c>
      <c r="L58" s="10" t="s">
        <v>115</v>
      </c>
      <c r="M58" s="10" t="s">
        <v>94</v>
      </c>
      <c r="N58" s="10" t="s">
        <v>116</v>
      </c>
      <c r="O58" s="9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</row>
    <row r="59" spans="1:78" ht="16.5" customHeight="1" x14ac:dyDescent="0.3">
      <c r="A59" t="s">
        <v>573</v>
      </c>
      <c r="B59" t="s">
        <v>92</v>
      </c>
      <c r="C59" t="s">
        <v>17</v>
      </c>
      <c r="D59" t="s">
        <v>610</v>
      </c>
      <c r="E59" t="s">
        <v>610</v>
      </c>
      <c r="F59" t="s">
        <v>610</v>
      </c>
      <c r="G59" s="5">
        <v>1494931</v>
      </c>
      <c r="H59" s="7" t="s">
        <v>157</v>
      </c>
      <c r="I59" s="5" t="s">
        <v>92</v>
      </c>
      <c r="J59" s="5">
        <v>0</v>
      </c>
      <c r="K59" s="5" t="s">
        <v>102</v>
      </c>
      <c r="L59" s="5" t="s">
        <v>115</v>
      </c>
      <c r="M59" s="5" t="s">
        <v>94</v>
      </c>
      <c r="N59" s="5" t="s">
        <v>116</v>
      </c>
      <c r="O59" s="4"/>
      <c r="P59" s="8">
        <f t="shared" ref="P59:P62" si="23">SUM(Q59,R59,S59)</f>
        <v>1</v>
      </c>
      <c r="Q59" s="8">
        <f t="shared" ref="Q59:Q62" si="24">SUM(T59:V59)</f>
        <v>0</v>
      </c>
      <c r="R59" s="8">
        <f t="shared" ref="R59:R62" si="25">SUM(W59:Y59)</f>
        <v>0</v>
      </c>
      <c r="S59" s="8">
        <f>SUM(Z59:BZ59)</f>
        <v>1</v>
      </c>
      <c r="T59" s="8"/>
      <c r="U59" s="8"/>
      <c r="V59" s="8"/>
      <c r="W59" s="8"/>
      <c r="X59" s="8"/>
      <c r="Y59" s="8"/>
      <c r="Z59" s="8"/>
      <c r="AA59" s="8">
        <v>1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 spans="1:78" ht="16.5" customHeight="1" x14ac:dyDescent="0.3">
      <c r="A60" t="s">
        <v>573</v>
      </c>
      <c r="B60" t="s">
        <v>92</v>
      </c>
      <c r="C60" t="s">
        <v>17</v>
      </c>
      <c r="D60" t="s">
        <v>610</v>
      </c>
      <c r="E60" t="s">
        <v>610</v>
      </c>
      <c r="F60" t="s">
        <v>611</v>
      </c>
      <c r="G60" s="5">
        <v>1494932</v>
      </c>
      <c r="H60" s="7" t="s">
        <v>158</v>
      </c>
      <c r="I60" s="5" t="s">
        <v>92</v>
      </c>
      <c r="J60" s="5">
        <v>0</v>
      </c>
      <c r="K60" s="5" t="s">
        <v>102</v>
      </c>
      <c r="L60" s="5" t="s">
        <v>109</v>
      </c>
      <c r="M60" s="5" t="s">
        <v>94</v>
      </c>
      <c r="N60" s="5" t="s">
        <v>119</v>
      </c>
      <c r="O60" s="4"/>
      <c r="P60" s="8">
        <f t="shared" si="23"/>
        <v>12</v>
      </c>
      <c r="Q60" s="8">
        <f t="shared" si="24"/>
        <v>0</v>
      </c>
      <c r="R60" s="8">
        <f t="shared" si="25"/>
        <v>0</v>
      </c>
      <c r="S60" s="8">
        <f>SUM(Z60:BZ60)</f>
        <v>12</v>
      </c>
      <c r="T60" s="8"/>
      <c r="U60" s="8"/>
      <c r="V60" s="8"/>
      <c r="W60" s="8"/>
      <c r="X60" s="8"/>
      <c r="Y60" s="8"/>
      <c r="Z60" s="8"/>
      <c r="AA60" s="8"/>
      <c r="AB60" s="8"/>
      <c r="AC60" s="8">
        <v>1</v>
      </c>
      <c r="AD60" s="8"/>
      <c r="AE60" s="8">
        <v>0</v>
      </c>
      <c r="AF60" s="8"/>
      <c r="AG60" s="8">
        <v>1</v>
      </c>
      <c r="AH60" s="8"/>
      <c r="AI60" s="8"/>
      <c r="AJ60" s="8">
        <v>5</v>
      </c>
      <c r="AK60" s="8"/>
      <c r="AL60" s="8"/>
      <c r="AM60" s="8"/>
      <c r="AN60" s="8"/>
      <c r="AO60" s="8"/>
      <c r="AP60" s="8"/>
      <c r="AQ60" s="8">
        <v>1</v>
      </c>
      <c r="AR60" s="8">
        <v>1</v>
      </c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>
        <v>2</v>
      </c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>
        <v>1</v>
      </c>
      <c r="BS60" s="8"/>
      <c r="BT60" s="8"/>
      <c r="BU60" s="8"/>
      <c r="BV60" s="8"/>
      <c r="BW60" s="8"/>
      <c r="BX60" s="8"/>
      <c r="BY60" s="8"/>
      <c r="BZ60" s="8"/>
    </row>
    <row r="61" spans="1:78" ht="16.5" customHeight="1" x14ac:dyDescent="0.3">
      <c r="A61" t="s">
        <v>573</v>
      </c>
      <c r="B61" t="s">
        <v>92</v>
      </c>
      <c r="C61" t="s">
        <v>17</v>
      </c>
      <c r="D61" t="s">
        <v>610</v>
      </c>
      <c r="E61" t="s">
        <v>610</v>
      </c>
      <c r="F61" t="s">
        <v>612</v>
      </c>
      <c r="G61" s="5">
        <v>1494933</v>
      </c>
      <c r="H61" s="7" t="s">
        <v>159</v>
      </c>
      <c r="I61" s="5" t="s">
        <v>92</v>
      </c>
      <c r="J61" s="5">
        <v>0</v>
      </c>
      <c r="K61" s="5" t="s">
        <v>102</v>
      </c>
      <c r="L61" s="5" t="s">
        <v>109</v>
      </c>
      <c r="M61" s="5" t="s">
        <v>94</v>
      </c>
      <c r="N61" s="5" t="s">
        <v>119</v>
      </c>
      <c r="O61" s="4"/>
      <c r="P61" s="8">
        <f t="shared" si="23"/>
        <v>9</v>
      </c>
      <c r="Q61" s="8">
        <f t="shared" si="24"/>
        <v>0</v>
      </c>
      <c r="R61" s="8">
        <f t="shared" si="25"/>
        <v>0</v>
      </c>
      <c r="S61" s="8">
        <f>SUM(Z61:BZ61)</f>
        <v>9</v>
      </c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>
        <v>1</v>
      </c>
      <c r="AF61" s="8"/>
      <c r="AG61" s="8"/>
      <c r="AH61" s="8"/>
      <c r="AI61" s="8"/>
      <c r="AJ61" s="8">
        <v>5</v>
      </c>
      <c r="AK61" s="8"/>
      <c r="AL61" s="8"/>
      <c r="AM61" s="8"/>
      <c r="AN61" s="8"/>
      <c r="AO61" s="8"/>
      <c r="AP61" s="8"/>
      <c r="AQ61" s="8"/>
      <c r="AR61" s="8">
        <v>1</v>
      </c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>
        <v>2</v>
      </c>
      <c r="BD61" s="8"/>
      <c r="BE61" s="8">
        <v>0</v>
      </c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 spans="1:78" ht="16.5" customHeight="1" x14ac:dyDescent="0.3">
      <c r="A62" t="s">
        <v>573</v>
      </c>
      <c r="B62" t="s">
        <v>92</v>
      </c>
      <c r="C62" t="s">
        <v>17</v>
      </c>
      <c r="D62" t="s">
        <v>610</v>
      </c>
      <c r="E62" t="s">
        <v>610</v>
      </c>
      <c r="F62" t="s">
        <v>613</v>
      </c>
      <c r="G62" s="5">
        <v>1494936</v>
      </c>
      <c r="H62" s="7" t="s">
        <v>160</v>
      </c>
      <c r="I62" s="5" t="s">
        <v>92</v>
      </c>
      <c r="J62" s="5">
        <v>0</v>
      </c>
      <c r="K62" s="5" t="s">
        <v>102</v>
      </c>
      <c r="L62" s="5" t="s">
        <v>109</v>
      </c>
      <c r="M62" s="5" t="s">
        <v>94</v>
      </c>
      <c r="N62" s="5" t="s">
        <v>119</v>
      </c>
      <c r="O62" s="4"/>
      <c r="P62" s="8">
        <f t="shared" si="23"/>
        <v>10</v>
      </c>
      <c r="Q62" s="8">
        <f t="shared" si="24"/>
        <v>0</v>
      </c>
      <c r="R62" s="8">
        <f t="shared" si="25"/>
        <v>0</v>
      </c>
      <c r="S62" s="8">
        <f>SUM(Z62:BZ62)</f>
        <v>10</v>
      </c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>
        <v>1</v>
      </c>
      <c r="AF62" s="8"/>
      <c r="AG62" s="8"/>
      <c r="AH62" s="8"/>
      <c r="AI62" s="8"/>
      <c r="AJ62" s="8">
        <v>5</v>
      </c>
      <c r="AK62" s="8"/>
      <c r="AL62" s="8"/>
      <c r="AM62" s="8"/>
      <c r="AN62" s="8"/>
      <c r="AO62" s="8"/>
      <c r="AP62" s="8"/>
      <c r="AQ62" s="8"/>
      <c r="AR62" s="8">
        <v>1</v>
      </c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>
        <v>3</v>
      </c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</row>
    <row r="63" spans="1:78" ht="16.5" customHeight="1" x14ac:dyDescent="0.3">
      <c r="G63" s="14">
        <v>1494938</v>
      </c>
      <c r="H63" s="15" t="s">
        <v>161</v>
      </c>
      <c r="I63" s="14" t="s">
        <v>92</v>
      </c>
      <c r="J63" s="14">
        <v>0</v>
      </c>
      <c r="K63" s="14" t="s">
        <v>97</v>
      </c>
      <c r="L63" s="14" t="s">
        <v>115</v>
      </c>
      <c r="M63" s="14" t="s">
        <v>94</v>
      </c>
      <c r="N63" s="14" t="s">
        <v>116</v>
      </c>
      <c r="O63" s="13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</row>
    <row r="64" spans="1:78" ht="16.5" customHeight="1" x14ac:dyDescent="0.3">
      <c r="A64" t="s">
        <v>573</v>
      </c>
      <c r="B64" t="s">
        <v>92</v>
      </c>
      <c r="C64" t="s">
        <v>17</v>
      </c>
      <c r="D64" t="s">
        <v>610</v>
      </c>
      <c r="E64" t="s">
        <v>614</v>
      </c>
      <c r="F64" t="s">
        <v>614</v>
      </c>
      <c r="G64" s="5">
        <v>1494938</v>
      </c>
      <c r="H64" s="7" t="s">
        <v>162</v>
      </c>
      <c r="I64" s="5" t="s">
        <v>92</v>
      </c>
      <c r="J64" s="5">
        <v>0</v>
      </c>
      <c r="K64" s="5" t="s">
        <v>97</v>
      </c>
      <c r="L64" s="5" t="s">
        <v>115</v>
      </c>
      <c r="M64" s="5" t="s">
        <v>94</v>
      </c>
      <c r="N64" s="5" t="s">
        <v>116</v>
      </c>
      <c r="O64" s="4"/>
      <c r="P64" s="8">
        <f t="shared" ref="P64:P67" si="26">SUM(Q64,R64,S64)</f>
        <v>1</v>
      </c>
      <c r="Q64" s="8">
        <f t="shared" ref="Q64:Q67" si="27">SUM(T64:V64)</f>
        <v>0</v>
      </c>
      <c r="R64" s="8">
        <f t="shared" ref="R64:R67" si="28">SUM(W64:Y64)</f>
        <v>0</v>
      </c>
      <c r="S64" s="8">
        <f>SUM(Z64:BZ64)</f>
        <v>1</v>
      </c>
      <c r="T64" s="8"/>
      <c r="U64" s="8"/>
      <c r="V64" s="8"/>
      <c r="W64" s="8"/>
      <c r="X64" s="8"/>
      <c r="Y64" s="8"/>
      <c r="Z64" s="8"/>
      <c r="AA64" s="8">
        <v>1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</row>
    <row r="65" spans="1:78" ht="16.5" customHeight="1" x14ac:dyDescent="0.3">
      <c r="A65" t="s">
        <v>573</v>
      </c>
      <c r="B65" t="s">
        <v>92</v>
      </c>
      <c r="C65" t="s">
        <v>17</v>
      </c>
      <c r="D65" t="s">
        <v>610</v>
      </c>
      <c r="E65" t="s">
        <v>614</v>
      </c>
      <c r="F65" t="s">
        <v>615</v>
      </c>
      <c r="G65" s="5">
        <v>1494942</v>
      </c>
      <c r="H65" s="7" t="s">
        <v>163</v>
      </c>
      <c r="I65" s="5" t="s">
        <v>92</v>
      </c>
      <c r="J65" s="5">
        <v>0</v>
      </c>
      <c r="K65" s="5" t="s">
        <v>102</v>
      </c>
      <c r="L65" s="5" t="s">
        <v>109</v>
      </c>
      <c r="M65" s="5" t="s">
        <v>94</v>
      </c>
      <c r="N65" s="5" t="s">
        <v>119</v>
      </c>
      <c r="O65" s="4"/>
      <c r="P65" s="8">
        <f t="shared" si="26"/>
        <v>9</v>
      </c>
      <c r="Q65" s="8">
        <f t="shared" si="27"/>
        <v>0</v>
      </c>
      <c r="R65" s="8">
        <f t="shared" si="28"/>
        <v>0</v>
      </c>
      <c r="S65" s="8">
        <f>SUM(Z65:BZ65)</f>
        <v>9</v>
      </c>
      <c r="T65" s="8"/>
      <c r="U65" s="8"/>
      <c r="V65" s="8"/>
      <c r="W65" s="8"/>
      <c r="X65" s="8"/>
      <c r="Y65" s="8"/>
      <c r="Z65" s="8"/>
      <c r="AA65" s="8"/>
      <c r="AB65" s="8"/>
      <c r="AC65" s="8">
        <v>1</v>
      </c>
      <c r="AD65" s="8"/>
      <c r="AE65" s="8">
        <v>0</v>
      </c>
      <c r="AF65" s="8"/>
      <c r="AG65" s="8">
        <v>1</v>
      </c>
      <c r="AH65" s="8"/>
      <c r="AI65" s="8"/>
      <c r="AJ65" s="8">
        <v>3</v>
      </c>
      <c r="AK65" s="8"/>
      <c r="AL65" s="8"/>
      <c r="AM65" s="8"/>
      <c r="AN65" s="8"/>
      <c r="AO65" s="8"/>
      <c r="AP65" s="8"/>
      <c r="AQ65" s="8">
        <v>1</v>
      </c>
      <c r="AR65" s="8">
        <v>0</v>
      </c>
      <c r="AS65" s="8"/>
      <c r="AT65" s="8">
        <v>1</v>
      </c>
      <c r="AU65" s="8"/>
      <c r="AV65" s="8"/>
      <c r="AW65" s="8"/>
      <c r="AX65" s="8"/>
      <c r="AY65" s="8"/>
      <c r="AZ65" s="8"/>
      <c r="BA65" s="8"/>
      <c r="BB65" s="8"/>
      <c r="BC65" s="8">
        <v>2</v>
      </c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</row>
    <row r="66" spans="1:78" ht="16.5" customHeight="1" x14ac:dyDescent="0.3">
      <c r="A66" t="s">
        <v>573</v>
      </c>
      <c r="B66" t="s">
        <v>92</v>
      </c>
      <c r="C66" t="s">
        <v>17</v>
      </c>
      <c r="D66" t="s">
        <v>610</v>
      </c>
      <c r="E66" t="s">
        <v>614</v>
      </c>
      <c r="F66" t="s">
        <v>616</v>
      </c>
      <c r="G66" s="5">
        <v>1494944</v>
      </c>
      <c r="H66" s="7" t="s">
        <v>164</v>
      </c>
      <c r="I66" s="5" t="s">
        <v>92</v>
      </c>
      <c r="J66" s="5">
        <v>0</v>
      </c>
      <c r="K66" s="5" t="s">
        <v>102</v>
      </c>
      <c r="L66" s="5" t="s">
        <v>109</v>
      </c>
      <c r="M66" s="5" t="s">
        <v>94</v>
      </c>
      <c r="N66" s="5" t="s">
        <v>119</v>
      </c>
      <c r="O66" s="4"/>
      <c r="P66" s="8">
        <f t="shared" si="26"/>
        <v>13</v>
      </c>
      <c r="Q66" s="8">
        <f t="shared" si="27"/>
        <v>0</v>
      </c>
      <c r="R66" s="8">
        <f t="shared" si="28"/>
        <v>0</v>
      </c>
      <c r="S66" s="8">
        <f>SUM(Z66:BZ66)</f>
        <v>13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>
        <v>1</v>
      </c>
      <c r="AF66" s="8"/>
      <c r="AG66" s="8"/>
      <c r="AH66" s="8"/>
      <c r="AI66" s="8"/>
      <c r="AJ66" s="8">
        <v>6</v>
      </c>
      <c r="AK66" s="8"/>
      <c r="AL66" s="8"/>
      <c r="AM66" s="8"/>
      <c r="AN66" s="8"/>
      <c r="AO66" s="8"/>
      <c r="AP66" s="8"/>
      <c r="AQ66" s="8"/>
      <c r="AR66" s="8">
        <v>2</v>
      </c>
      <c r="AS66" s="8"/>
      <c r="AT66" s="8">
        <v>1</v>
      </c>
      <c r="AU66" s="8"/>
      <c r="AV66" s="8"/>
      <c r="AW66" s="8"/>
      <c r="AX66" s="8"/>
      <c r="AY66" s="8"/>
      <c r="AZ66" s="8"/>
      <c r="BA66" s="8"/>
      <c r="BB66" s="8"/>
      <c r="BC66" s="8">
        <v>2</v>
      </c>
      <c r="BD66" s="8"/>
      <c r="BE66" s="8">
        <v>1</v>
      </c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</row>
    <row r="67" spans="1:78" ht="16.5" customHeight="1" x14ac:dyDescent="0.3">
      <c r="A67" t="s">
        <v>573</v>
      </c>
      <c r="B67" t="s">
        <v>92</v>
      </c>
      <c r="C67" t="s">
        <v>17</v>
      </c>
      <c r="D67" t="s">
        <v>610</v>
      </c>
      <c r="E67" t="s">
        <v>614</v>
      </c>
      <c r="F67" t="s">
        <v>617</v>
      </c>
      <c r="G67" s="5">
        <v>1494949</v>
      </c>
      <c r="H67" s="7" t="s">
        <v>165</v>
      </c>
      <c r="I67" s="5" t="s">
        <v>92</v>
      </c>
      <c r="J67" s="5">
        <v>0</v>
      </c>
      <c r="K67" s="5" t="s">
        <v>102</v>
      </c>
      <c r="L67" s="5" t="s">
        <v>109</v>
      </c>
      <c r="M67" s="5" t="s">
        <v>94</v>
      </c>
      <c r="N67" s="5" t="s">
        <v>119</v>
      </c>
      <c r="O67" s="4"/>
      <c r="P67" s="8">
        <f t="shared" si="26"/>
        <v>10</v>
      </c>
      <c r="Q67" s="8">
        <f t="shared" si="27"/>
        <v>0</v>
      </c>
      <c r="R67" s="8">
        <f t="shared" si="28"/>
        <v>0</v>
      </c>
      <c r="S67" s="8">
        <f>SUM(Z67:BZ67)</f>
        <v>10</v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>
        <v>1</v>
      </c>
      <c r="AF67" s="8"/>
      <c r="AG67" s="8">
        <v>2</v>
      </c>
      <c r="AH67" s="8"/>
      <c r="AI67" s="8"/>
      <c r="AJ67" s="8">
        <v>4</v>
      </c>
      <c r="AK67" s="8"/>
      <c r="AL67" s="8"/>
      <c r="AM67" s="8"/>
      <c r="AN67" s="8"/>
      <c r="AO67" s="8"/>
      <c r="AP67" s="8"/>
      <c r="AQ67" s="8"/>
      <c r="AR67" s="8">
        <v>3</v>
      </c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 spans="1:78" ht="16.5" customHeight="1" x14ac:dyDescent="0.3">
      <c r="G68" s="10">
        <v>1494744</v>
      </c>
      <c r="H68" s="11" t="s">
        <v>166</v>
      </c>
      <c r="I68" s="10" t="s">
        <v>92</v>
      </c>
      <c r="J68" s="10">
        <v>0</v>
      </c>
      <c r="K68" s="10" t="s">
        <v>102</v>
      </c>
      <c r="L68" s="10" t="s">
        <v>115</v>
      </c>
      <c r="M68" s="10" t="s">
        <v>94</v>
      </c>
      <c r="N68" s="10" t="s">
        <v>116</v>
      </c>
      <c r="O68" s="9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</row>
    <row r="69" spans="1:78" ht="16.5" customHeight="1" x14ac:dyDescent="0.3">
      <c r="A69" t="s">
        <v>573</v>
      </c>
      <c r="B69" t="s">
        <v>92</v>
      </c>
      <c r="C69" t="s">
        <v>17</v>
      </c>
      <c r="D69" t="s">
        <v>618</v>
      </c>
      <c r="E69" t="s">
        <v>618</v>
      </c>
      <c r="F69" t="s">
        <v>618</v>
      </c>
      <c r="G69" s="5">
        <v>1494744</v>
      </c>
      <c r="H69" s="7" t="s">
        <v>167</v>
      </c>
      <c r="I69" s="5" t="s">
        <v>92</v>
      </c>
      <c r="J69" s="5">
        <v>0</v>
      </c>
      <c r="K69" s="5" t="s">
        <v>102</v>
      </c>
      <c r="L69" s="5" t="s">
        <v>115</v>
      </c>
      <c r="M69" s="5" t="s">
        <v>94</v>
      </c>
      <c r="N69" s="5" t="s">
        <v>116</v>
      </c>
      <c r="O69" s="4"/>
      <c r="P69" s="8">
        <f t="shared" ref="P69:P73" si="29">SUM(Q69,R69,S69)</f>
        <v>1</v>
      </c>
      <c r="Q69" s="8">
        <f t="shared" ref="Q69:Q73" si="30">SUM(T69:V69)</f>
        <v>0</v>
      </c>
      <c r="R69" s="8">
        <f t="shared" ref="R69:R73" si="31">SUM(W69:Y69)</f>
        <v>0</v>
      </c>
      <c r="S69" s="8">
        <f>SUM(Z69:BZ69)</f>
        <v>1</v>
      </c>
      <c r="T69" s="8"/>
      <c r="U69" s="8"/>
      <c r="V69" s="8"/>
      <c r="W69" s="8"/>
      <c r="X69" s="8"/>
      <c r="Y69" s="8"/>
      <c r="Z69" s="8"/>
      <c r="AA69" s="8">
        <v>1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 spans="1:78" ht="16.5" customHeight="1" x14ac:dyDescent="0.3">
      <c r="A70" t="s">
        <v>573</v>
      </c>
      <c r="B70" t="s">
        <v>92</v>
      </c>
      <c r="C70" t="s">
        <v>17</v>
      </c>
      <c r="D70" t="s">
        <v>618</v>
      </c>
      <c r="E70" t="s">
        <v>618</v>
      </c>
      <c r="F70" t="s">
        <v>619</v>
      </c>
      <c r="G70" s="5">
        <v>1494745</v>
      </c>
      <c r="H70" s="7" t="s">
        <v>168</v>
      </c>
      <c r="I70" s="5" t="s">
        <v>92</v>
      </c>
      <c r="J70" s="5">
        <v>0</v>
      </c>
      <c r="K70" s="5" t="s">
        <v>102</v>
      </c>
      <c r="L70" s="5" t="s">
        <v>109</v>
      </c>
      <c r="M70" s="5" t="s">
        <v>94</v>
      </c>
      <c r="N70" s="5" t="s">
        <v>119</v>
      </c>
      <c r="O70" s="4"/>
      <c r="P70" s="8">
        <f t="shared" si="29"/>
        <v>11</v>
      </c>
      <c r="Q70" s="8">
        <f t="shared" si="30"/>
        <v>0</v>
      </c>
      <c r="R70" s="8">
        <f t="shared" si="31"/>
        <v>0</v>
      </c>
      <c r="S70" s="8">
        <f>SUM(Z70:BZ70)</f>
        <v>11</v>
      </c>
      <c r="T70" s="8"/>
      <c r="U70" s="8"/>
      <c r="V70" s="8"/>
      <c r="W70" s="8"/>
      <c r="X70" s="8"/>
      <c r="Y70" s="8"/>
      <c r="Z70" s="8"/>
      <c r="AA70" s="8"/>
      <c r="AB70" s="8"/>
      <c r="AC70" s="8">
        <v>1</v>
      </c>
      <c r="AD70" s="8"/>
      <c r="AE70" s="8"/>
      <c r="AF70" s="8"/>
      <c r="AG70" s="8">
        <v>1</v>
      </c>
      <c r="AH70" s="8"/>
      <c r="AI70" s="8"/>
      <c r="AJ70" s="8">
        <v>4</v>
      </c>
      <c r="AK70" s="8"/>
      <c r="AL70" s="8"/>
      <c r="AM70" s="8"/>
      <c r="AN70" s="8"/>
      <c r="AO70" s="8"/>
      <c r="AP70" s="8"/>
      <c r="AQ70" s="8">
        <v>0</v>
      </c>
      <c r="AR70" s="8">
        <v>4</v>
      </c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>
        <v>0</v>
      </c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>
        <v>1</v>
      </c>
      <c r="BS70" s="8"/>
      <c r="BT70" s="8"/>
      <c r="BU70" s="8"/>
      <c r="BV70" s="8"/>
      <c r="BW70" s="8"/>
      <c r="BX70" s="8"/>
      <c r="BY70" s="8"/>
      <c r="BZ70" s="8"/>
    </row>
    <row r="71" spans="1:78" ht="16.5" customHeight="1" x14ac:dyDescent="0.3">
      <c r="A71" t="s">
        <v>573</v>
      </c>
      <c r="B71" t="s">
        <v>92</v>
      </c>
      <c r="C71" t="s">
        <v>17</v>
      </c>
      <c r="D71" t="s">
        <v>618</v>
      </c>
      <c r="E71" t="s">
        <v>618</v>
      </c>
      <c r="F71" t="s">
        <v>620</v>
      </c>
      <c r="G71" s="5">
        <v>1494746</v>
      </c>
      <c r="H71" s="7" t="s">
        <v>169</v>
      </c>
      <c r="I71" s="5" t="s">
        <v>92</v>
      </c>
      <c r="J71" s="5">
        <v>0</v>
      </c>
      <c r="K71" s="5" t="s">
        <v>102</v>
      </c>
      <c r="L71" s="5" t="s">
        <v>109</v>
      </c>
      <c r="M71" s="5" t="s">
        <v>94</v>
      </c>
      <c r="N71" s="5" t="s">
        <v>119</v>
      </c>
      <c r="O71" s="4"/>
      <c r="P71" s="8">
        <f t="shared" si="29"/>
        <v>9</v>
      </c>
      <c r="Q71" s="8">
        <f t="shared" si="30"/>
        <v>0</v>
      </c>
      <c r="R71" s="8">
        <f t="shared" si="31"/>
        <v>0</v>
      </c>
      <c r="S71" s="8">
        <f>SUM(Z71:BZ71)</f>
        <v>9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>
        <v>1</v>
      </c>
      <c r="AF71" s="8"/>
      <c r="AG71" s="8"/>
      <c r="AH71" s="8"/>
      <c r="AI71" s="8"/>
      <c r="AJ71" s="8">
        <v>5</v>
      </c>
      <c r="AK71" s="8"/>
      <c r="AL71" s="8"/>
      <c r="AM71" s="8"/>
      <c r="AN71" s="8"/>
      <c r="AO71" s="8"/>
      <c r="AP71" s="8"/>
      <c r="AQ71" s="8">
        <v>0</v>
      </c>
      <c r="AR71" s="8">
        <v>1</v>
      </c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>
        <v>1</v>
      </c>
      <c r="BD71" s="8"/>
      <c r="BE71" s="8"/>
      <c r="BF71" s="8"/>
      <c r="BG71" s="8">
        <v>1</v>
      </c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1:78" ht="16.5" customHeight="1" x14ac:dyDescent="0.3">
      <c r="A72" t="s">
        <v>573</v>
      </c>
      <c r="B72" t="s">
        <v>92</v>
      </c>
      <c r="C72" t="s">
        <v>17</v>
      </c>
      <c r="D72" t="s">
        <v>618</v>
      </c>
      <c r="E72" t="s">
        <v>618</v>
      </c>
      <c r="F72" t="s">
        <v>621</v>
      </c>
      <c r="G72" s="5">
        <v>1494747</v>
      </c>
      <c r="H72" s="7" t="s">
        <v>170</v>
      </c>
      <c r="I72" s="5" t="s">
        <v>92</v>
      </c>
      <c r="J72" s="5">
        <v>0</v>
      </c>
      <c r="K72" s="5" t="s">
        <v>102</v>
      </c>
      <c r="L72" s="5" t="s">
        <v>109</v>
      </c>
      <c r="M72" s="5" t="s">
        <v>94</v>
      </c>
      <c r="N72" s="5" t="s">
        <v>119</v>
      </c>
      <c r="O72" s="4"/>
      <c r="P72" s="8">
        <f t="shared" si="29"/>
        <v>11</v>
      </c>
      <c r="Q72" s="8">
        <f t="shared" si="30"/>
        <v>0</v>
      </c>
      <c r="R72" s="8">
        <f t="shared" si="31"/>
        <v>0</v>
      </c>
      <c r="S72" s="8">
        <f>SUM(Z72:BZ72)</f>
        <v>11</v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>
        <v>1</v>
      </c>
      <c r="AF72" s="8"/>
      <c r="AG72" s="8"/>
      <c r="AH72" s="8"/>
      <c r="AI72" s="8"/>
      <c r="AJ72" s="8">
        <v>5</v>
      </c>
      <c r="AK72" s="8"/>
      <c r="AL72" s="8"/>
      <c r="AM72" s="8"/>
      <c r="AN72" s="8"/>
      <c r="AO72" s="8"/>
      <c r="AP72" s="8"/>
      <c r="AQ72" s="8">
        <v>1</v>
      </c>
      <c r="AR72" s="8">
        <v>1</v>
      </c>
      <c r="AS72" s="8">
        <v>0</v>
      </c>
      <c r="AT72" s="8"/>
      <c r="AU72" s="8"/>
      <c r="AV72" s="8">
        <v>1</v>
      </c>
      <c r="AW72" s="8"/>
      <c r="AX72" s="8"/>
      <c r="AY72" s="8"/>
      <c r="AZ72" s="8"/>
      <c r="BA72" s="8"/>
      <c r="BB72" s="8"/>
      <c r="BC72" s="8"/>
      <c r="BD72" s="8"/>
      <c r="BE72" s="8">
        <v>1</v>
      </c>
      <c r="BF72" s="8"/>
      <c r="BG72" s="8"/>
      <c r="BH72" s="8"/>
      <c r="BI72" s="8">
        <v>1</v>
      </c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 spans="1:78" ht="16.5" customHeight="1" x14ac:dyDescent="0.3">
      <c r="A73" t="s">
        <v>573</v>
      </c>
      <c r="B73" t="s">
        <v>92</v>
      </c>
      <c r="C73" t="s">
        <v>17</v>
      </c>
      <c r="D73" t="s">
        <v>618</v>
      </c>
      <c r="E73" t="s">
        <v>618</v>
      </c>
      <c r="F73" t="s">
        <v>622</v>
      </c>
      <c r="G73" s="5">
        <v>1492960</v>
      </c>
      <c r="H73" s="7" t="s">
        <v>171</v>
      </c>
      <c r="I73" s="5" t="s">
        <v>92</v>
      </c>
      <c r="J73" s="5">
        <v>0</v>
      </c>
      <c r="K73" s="5" t="s">
        <v>102</v>
      </c>
      <c r="L73" s="5" t="s">
        <v>109</v>
      </c>
      <c r="M73" s="5" t="s">
        <v>94</v>
      </c>
      <c r="N73" s="5" t="s">
        <v>119</v>
      </c>
      <c r="O73" s="4"/>
      <c r="P73" s="8">
        <f t="shared" si="29"/>
        <v>10</v>
      </c>
      <c r="Q73" s="8">
        <f t="shared" si="30"/>
        <v>0</v>
      </c>
      <c r="R73" s="8">
        <f t="shared" si="31"/>
        <v>0</v>
      </c>
      <c r="S73" s="8">
        <f>SUM(Z73:BZ73)</f>
        <v>10</v>
      </c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>
        <v>1</v>
      </c>
      <c r="AF73" s="8"/>
      <c r="AG73" s="8"/>
      <c r="AH73" s="8"/>
      <c r="AI73" s="8"/>
      <c r="AJ73" s="8">
        <v>3</v>
      </c>
      <c r="AK73" s="8"/>
      <c r="AL73" s="8">
        <v>1</v>
      </c>
      <c r="AM73" s="8"/>
      <c r="AN73" s="8"/>
      <c r="AO73" s="8"/>
      <c r="AP73" s="8"/>
      <c r="AQ73" s="8">
        <v>1</v>
      </c>
      <c r="AR73" s="8">
        <v>2</v>
      </c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>
        <v>2</v>
      </c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1:78" ht="16.5" customHeight="1" x14ac:dyDescent="0.3">
      <c r="G74" s="10">
        <v>1494582</v>
      </c>
      <c r="H74" s="11" t="s">
        <v>172</v>
      </c>
      <c r="I74" s="10" t="s">
        <v>92</v>
      </c>
      <c r="J74" s="10">
        <v>0</v>
      </c>
      <c r="K74" s="10" t="s">
        <v>102</v>
      </c>
      <c r="L74" s="10" t="s">
        <v>105</v>
      </c>
      <c r="M74" s="10" t="s">
        <v>94</v>
      </c>
      <c r="N74" s="10" t="s">
        <v>106</v>
      </c>
      <c r="O74" s="9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</row>
    <row r="75" spans="1:78" ht="16.5" customHeight="1" x14ac:dyDescent="0.3">
      <c r="A75" t="s">
        <v>573</v>
      </c>
      <c r="B75" t="s">
        <v>92</v>
      </c>
      <c r="C75" t="s">
        <v>17</v>
      </c>
      <c r="D75" t="s">
        <v>623</v>
      </c>
      <c r="E75" t="s">
        <v>623</v>
      </c>
      <c r="F75" t="s">
        <v>623</v>
      </c>
      <c r="G75" s="5">
        <v>1494582</v>
      </c>
      <c r="H75" s="7" t="s">
        <v>173</v>
      </c>
      <c r="I75" s="5" t="s">
        <v>92</v>
      </c>
      <c r="J75" s="5">
        <v>0</v>
      </c>
      <c r="K75" s="5" t="s">
        <v>102</v>
      </c>
      <c r="L75" s="5" t="s">
        <v>105</v>
      </c>
      <c r="M75" s="5" t="s">
        <v>94</v>
      </c>
      <c r="N75" s="5" t="s">
        <v>106</v>
      </c>
      <c r="O75" s="4"/>
      <c r="P75" s="8">
        <f>SUM(Q75,R75,S75)</f>
        <v>1</v>
      </c>
      <c r="Q75" s="8">
        <f>SUM(T75:V75)</f>
        <v>0</v>
      </c>
      <c r="R75" s="8">
        <f>SUM(W75:Y75)</f>
        <v>0</v>
      </c>
      <c r="S75" s="8">
        <f>SUM(Z75:BZ75)</f>
        <v>1</v>
      </c>
      <c r="T75" s="8"/>
      <c r="U75" s="8"/>
      <c r="V75" s="8"/>
      <c r="W75" s="8"/>
      <c r="X75" s="8"/>
      <c r="Y75" s="8"/>
      <c r="Z75" s="8">
        <v>1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1:78" ht="16.5" customHeight="1" x14ac:dyDescent="0.3">
      <c r="G76" s="14">
        <v>1494956</v>
      </c>
      <c r="H76" s="15" t="s">
        <v>174</v>
      </c>
      <c r="I76" s="14" t="s">
        <v>92</v>
      </c>
      <c r="J76" s="14">
        <v>0</v>
      </c>
      <c r="K76" s="14" t="s">
        <v>97</v>
      </c>
      <c r="L76" s="14" t="s">
        <v>115</v>
      </c>
      <c r="M76" s="14" t="s">
        <v>94</v>
      </c>
      <c r="N76" s="14" t="s">
        <v>116</v>
      </c>
      <c r="O76" s="13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</row>
    <row r="77" spans="1:78" ht="16.5" customHeight="1" x14ac:dyDescent="0.3">
      <c r="A77" t="s">
        <v>573</v>
      </c>
      <c r="B77" t="s">
        <v>92</v>
      </c>
      <c r="C77" t="s">
        <v>17</v>
      </c>
      <c r="D77" t="s">
        <v>623</v>
      </c>
      <c r="E77" t="s">
        <v>624</v>
      </c>
      <c r="F77" t="s">
        <v>624</v>
      </c>
      <c r="G77" s="5">
        <v>1494956</v>
      </c>
      <c r="H77" s="7" t="s">
        <v>175</v>
      </c>
      <c r="I77" s="5" t="s">
        <v>92</v>
      </c>
      <c r="J77" s="5">
        <v>0</v>
      </c>
      <c r="K77" s="5" t="s">
        <v>97</v>
      </c>
      <c r="L77" s="5" t="s">
        <v>115</v>
      </c>
      <c r="M77" s="5" t="s">
        <v>94</v>
      </c>
      <c r="N77" s="5" t="s">
        <v>116</v>
      </c>
      <c r="O77" s="4"/>
      <c r="P77" s="8">
        <f t="shared" ref="P77:P81" si="32">SUM(Q77,R77,S77)</f>
        <v>1</v>
      </c>
      <c r="Q77" s="8">
        <f t="shared" ref="Q77:Q81" si="33">SUM(T77:V77)</f>
        <v>0</v>
      </c>
      <c r="R77" s="8">
        <f t="shared" ref="R77:R81" si="34">SUM(W77:Y77)</f>
        <v>0</v>
      </c>
      <c r="S77" s="8">
        <f>SUM(Z77:BZ77)</f>
        <v>1</v>
      </c>
      <c r="T77" s="8"/>
      <c r="U77" s="8"/>
      <c r="V77" s="8"/>
      <c r="W77" s="8"/>
      <c r="X77" s="8"/>
      <c r="Y77" s="8"/>
      <c r="Z77" s="8"/>
      <c r="AA77" s="8">
        <v>1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1:78" ht="16.5" customHeight="1" x14ac:dyDescent="0.3">
      <c r="A78" t="s">
        <v>573</v>
      </c>
      <c r="B78" t="s">
        <v>92</v>
      </c>
      <c r="C78" t="s">
        <v>17</v>
      </c>
      <c r="D78" t="s">
        <v>623</v>
      </c>
      <c r="E78" t="s">
        <v>624</v>
      </c>
      <c r="F78" t="s">
        <v>625</v>
      </c>
      <c r="G78" s="5">
        <v>1494968</v>
      </c>
      <c r="H78" s="7" t="s">
        <v>176</v>
      </c>
      <c r="I78" s="5" t="s">
        <v>92</v>
      </c>
      <c r="J78" s="5">
        <v>0</v>
      </c>
      <c r="K78" s="5" t="s">
        <v>102</v>
      </c>
      <c r="L78" s="5" t="s">
        <v>109</v>
      </c>
      <c r="M78" s="5" t="s">
        <v>94</v>
      </c>
      <c r="N78" s="5" t="s">
        <v>119</v>
      </c>
      <c r="O78" s="4"/>
      <c r="P78" s="8">
        <f t="shared" si="32"/>
        <v>18</v>
      </c>
      <c r="Q78" s="8">
        <f t="shared" si="33"/>
        <v>0</v>
      </c>
      <c r="R78" s="8">
        <f t="shared" si="34"/>
        <v>0</v>
      </c>
      <c r="S78" s="8">
        <f>SUM(Z78:BZ78)</f>
        <v>18</v>
      </c>
      <c r="T78" s="8"/>
      <c r="U78" s="8"/>
      <c r="V78" s="8"/>
      <c r="W78" s="8"/>
      <c r="X78" s="8"/>
      <c r="Y78" s="8"/>
      <c r="Z78" s="8"/>
      <c r="AA78" s="8"/>
      <c r="AB78" s="8"/>
      <c r="AC78" s="8">
        <v>1</v>
      </c>
      <c r="AD78" s="8"/>
      <c r="AE78" s="8"/>
      <c r="AF78" s="8"/>
      <c r="AG78" s="8"/>
      <c r="AH78" s="8"/>
      <c r="AI78" s="8"/>
      <c r="AJ78" s="8">
        <v>8</v>
      </c>
      <c r="AK78" s="8"/>
      <c r="AL78" s="8"/>
      <c r="AM78" s="8"/>
      <c r="AN78" s="8"/>
      <c r="AO78" s="8"/>
      <c r="AP78" s="8"/>
      <c r="AQ78" s="8">
        <v>1</v>
      </c>
      <c r="AR78" s="8">
        <v>2</v>
      </c>
      <c r="AS78" s="8"/>
      <c r="AT78" s="8">
        <v>1</v>
      </c>
      <c r="AU78" s="8"/>
      <c r="AV78" s="8"/>
      <c r="AW78" s="8"/>
      <c r="AX78" s="8"/>
      <c r="AY78" s="8"/>
      <c r="AZ78" s="8"/>
      <c r="BA78" s="8"/>
      <c r="BB78" s="8"/>
      <c r="BC78" s="8">
        <v>4</v>
      </c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>
        <v>1</v>
      </c>
      <c r="BS78" s="8"/>
      <c r="BT78" s="8"/>
      <c r="BU78" s="8"/>
      <c r="BV78" s="8"/>
      <c r="BW78" s="8"/>
      <c r="BX78" s="8"/>
      <c r="BY78" s="8"/>
      <c r="BZ78" s="8"/>
    </row>
    <row r="79" spans="1:78" ht="16.5" customHeight="1" x14ac:dyDescent="0.3">
      <c r="A79" t="s">
        <v>573</v>
      </c>
      <c r="B79" t="s">
        <v>92</v>
      </c>
      <c r="C79" t="s">
        <v>17</v>
      </c>
      <c r="D79" t="s">
        <v>623</v>
      </c>
      <c r="E79" t="s">
        <v>624</v>
      </c>
      <c r="F79" t="s">
        <v>626</v>
      </c>
      <c r="G79" s="5">
        <v>1494972</v>
      </c>
      <c r="H79" s="7" t="s">
        <v>177</v>
      </c>
      <c r="I79" s="5" t="s">
        <v>92</v>
      </c>
      <c r="J79" s="5">
        <v>0</v>
      </c>
      <c r="K79" s="5" t="s">
        <v>102</v>
      </c>
      <c r="L79" s="5" t="s">
        <v>109</v>
      </c>
      <c r="M79" s="5" t="s">
        <v>94</v>
      </c>
      <c r="N79" s="5" t="s">
        <v>119</v>
      </c>
      <c r="O79" s="4"/>
      <c r="P79" s="8">
        <f t="shared" si="32"/>
        <v>10</v>
      </c>
      <c r="Q79" s="8">
        <f t="shared" si="33"/>
        <v>0</v>
      </c>
      <c r="R79" s="8">
        <f t="shared" si="34"/>
        <v>0</v>
      </c>
      <c r="S79" s="8">
        <f>SUM(Z79:BZ79)</f>
        <v>10</v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>
        <v>1</v>
      </c>
      <c r="AF79" s="8"/>
      <c r="AG79" s="8">
        <v>1</v>
      </c>
      <c r="AH79" s="8"/>
      <c r="AI79" s="8"/>
      <c r="AJ79" s="8">
        <v>3</v>
      </c>
      <c r="AK79" s="8"/>
      <c r="AL79" s="8"/>
      <c r="AM79" s="8"/>
      <c r="AN79" s="8"/>
      <c r="AO79" s="8"/>
      <c r="AP79" s="8"/>
      <c r="AQ79" s="8"/>
      <c r="AR79" s="8">
        <v>2</v>
      </c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>
        <v>3</v>
      </c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1:78" ht="16.5" customHeight="1" x14ac:dyDescent="0.3">
      <c r="A80" t="s">
        <v>573</v>
      </c>
      <c r="B80" t="s">
        <v>92</v>
      </c>
      <c r="C80" t="s">
        <v>17</v>
      </c>
      <c r="D80" t="s">
        <v>623</v>
      </c>
      <c r="E80" t="s">
        <v>624</v>
      </c>
      <c r="F80" t="s">
        <v>627</v>
      </c>
      <c r="G80" s="5">
        <v>1494975</v>
      </c>
      <c r="H80" s="7" t="s">
        <v>178</v>
      </c>
      <c r="I80" s="5" t="s">
        <v>92</v>
      </c>
      <c r="J80" s="5">
        <v>0</v>
      </c>
      <c r="K80" s="5" t="s">
        <v>102</v>
      </c>
      <c r="L80" s="5" t="s">
        <v>109</v>
      </c>
      <c r="M80" s="5" t="s">
        <v>94</v>
      </c>
      <c r="N80" s="5" t="s">
        <v>119</v>
      </c>
      <c r="O80" s="4"/>
      <c r="P80" s="8">
        <f t="shared" si="32"/>
        <v>9</v>
      </c>
      <c r="Q80" s="8">
        <f t="shared" si="33"/>
        <v>0</v>
      </c>
      <c r="R80" s="8">
        <f t="shared" si="34"/>
        <v>0</v>
      </c>
      <c r="S80" s="8">
        <f>SUM(Z80:BZ80)</f>
        <v>9</v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>
        <v>1</v>
      </c>
      <c r="AF80" s="8"/>
      <c r="AG80" s="8"/>
      <c r="AH80" s="8"/>
      <c r="AI80" s="8"/>
      <c r="AJ80" s="8">
        <v>5</v>
      </c>
      <c r="AK80" s="8"/>
      <c r="AL80" s="8"/>
      <c r="AM80" s="8"/>
      <c r="AN80" s="8"/>
      <c r="AO80" s="8"/>
      <c r="AP80" s="8"/>
      <c r="AQ80" s="8"/>
      <c r="AR80" s="8">
        <v>1</v>
      </c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>
        <v>2</v>
      </c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 spans="1:78" ht="16.5" customHeight="1" x14ac:dyDescent="0.3">
      <c r="A81" t="s">
        <v>573</v>
      </c>
      <c r="B81" t="s">
        <v>92</v>
      </c>
      <c r="C81" t="s">
        <v>17</v>
      </c>
      <c r="D81" t="s">
        <v>623</v>
      </c>
      <c r="E81" t="s">
        <v>624</v>
      </c>
      <c r="F81" t="s">
        <v>628</v>
      </c>
      <c r="G81" s="5">
        <v>1494978</v>
      </c>
      <c r="H81" s="7" t="s">
        <v>179</v>
      </c>
      <c r="I81" s="5" t="s">
        <v>92</v>
      </c>
      <c r="J81" s="5">
        <v>0</v>
      </c>
      <c r="K81" s="5" t="s">
        <v>102</v>
      </c>
      <c r="L81" s="5" t="s">
        <v>109</v>
      </c>
      <c r="M81" s="5" t="s">
        <v>180</v>
      </c>
      <c r="N81" s="5" t="s">
        <v>110</v>
      </c>
      <c r="O81" s="4"/>
      <c r="P81" s="8">
        <f t="shared" si="32"/>
        <v>8</v>
      </c>
      <c r="Q81" s="8">
        <f t="shared" si="33"/>
        <v>0</v>
      </c>
      <c r="R81" s="8">
        <f t="shared" si="34"/>
        <v>0</v>
      </c>
      <c r="S81" s="8">
        <f>SUM(Z81:BZ81)</f>
        <v>8</v>
      </c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>
        <v>1</v>
      </c>
      <c r="AF81" s="8"/>
      <c r="AG81" s="8"/>
      <c r="AH81" s="8"/>
      <c r="AI81" s="8"/>
      <c r="AJ81" s="8">
        <v>5</v>
      </c>
      <c r="AK81" s="8"/>
      <c r="AL81" s="8"/>
      <c r="AM81" s="8"/>
      <c r="AN81" s="8"/>
      <c r="AO81" s="8"/>
      <c r="AP81" s="8"/>
      <c r="AQ81" s="8"/>
      <c r="AR81" s="8">
        <v>1</v>
      </c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>
        <v>1</v>
      </c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</row>
    <row r="82" spans="1:78" ht="16.5" customHeight="1" x14ac:dyDescent="0.3">
      <c r="G82" s="14">
        <v>1494585</v>
      </c>
      <c r="H82" s="15" t="s">
        <v>181</v>
      </c>
      <c r="I82" s="14" t="s">
        <v>92</v>
      </c>
      <c r="J82" s="14">
        <v>0</v>
      </c>
      <c r="K82" s="14" t="s">
        <v>97</v>
      </c>
      <c r="L82" s="14" t="s">
        <v>115</v>
      </c>
      <c r="M82" s="14" t="s">
        <v>94</v>
      </c>
      <c r="N82" s="14" t="s">
        <v>116</v>
      </c>
      <c r="O82" s="13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</row>
    <row r="83" spans="1:78" ht="16.5" customHeight="1" x14ac:dyDescent="0.3">
      <c r="A83" t="s">
        <v>573</v>
      </c>
      <c r="B83" t="s">
        <v>92</v>
      </c>
      <c r="C83" t="s">
        <v>17</v>
      </c>
      <c r="D83" t="s">
        <v>623</v>
      </c>
      <c r="E83" t="s">
        <v>629</v>
      </c>
      <c r="F83" t="s">
        <v>629</v>
      </c>
      <c r="G83" s="5">
        <v>1494585</v>
      </c>
      <c r="H83" s="7" t="s">
        <v>182</v>
      </c>
      <c r="I83" s="5" t="s">
        <v>92</v>
      </c>
      <c r="J83" s="5">
        <v>0</v>
      </c>
      <c r="K83" s="5" t="s">
        <v>97</v>
      </c>
      <c r="L83" s="5" t="s">
        <v>115</v>
      </c>
      <c r="M83" s="5" t="s">
        <v>94</v>
      </c>
      <c r="N83" s="5" t="s">
        <v>116</v>
      </c>
      <c r="O83" s="4"/>
      <c r="P83" s="8">
        <f t="shared" ref="P83:P86" si="35">SUM(Q83,R83,S83)</f>
        <v>1</v>
      </c>
      <c r="Q83" s="8">
        <f t="shared" ref="Q83:Q86" si="36">SUM(T83:V83)</f>
        <v>0</v>
      </c>
      <c r="R83" s="8">
        <f t="shared" ref="R83:R86" si="37">SUM(W83:Y83)</f>
        <v>0</v>
      </c>
      <c r="S83" s="8">
        <f>SUM(Z83:BZ83)</f>
        <v>1</v>
      </c>
      <c r="T83" s="8"/>
      <c r="U83" s="8"/>
      <c r="V83" s="8"/>
      <c r="W83" s="8"/>
      <c r="X83" s="8"/>
      <c r="Y83" s="8"/>
      <c r="Z83" s="8"/>
      <c r="AA83" s="8">
        <v>1</v>
      </c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</row>
    <row r="84" spans="1:78" ht="16.5" customHeight="1" x14ac:dyDescent="0.3">
      <c r="A84" t="s">
        <v>573</v>
      </c>
      <c r="B84" t="s">
        <v>92</v>
      </c>
      <c r="C84" t="s">
        <v>17</v>
      </c>
      <c r="D84" t="s">
        <v>623</v>
      </c>
      <c r="E84" t="s">
        <v>629</v>
      </c>
      <c r="F84" t="s">
        <v>630</v>
      </c>
      <c r="G84" s="5">
        <v>1494596</v>
      </c>
      <c r="H84" s="7" t="s">
        <v>183</v>
      </c>
      <c r="I84" s="5" t="s">
        <v>92</v>
      </c>
      <c r="J84" s="5">
        <v>0</v>
      </c>
      <c r="K84" s="5" t="s">
        <v>102</v>
      </c>
      <c r="L84" s="5" t="s">
        <v>109</v>
      </c>
      <c r="M84" s="5" t="s">
        <v>94</v>
      </c>
      <c r="N84" s="5" t="s">
        <v>119</v>
      </c>
      <c r="O84" s="4"/>
      <c r="P84" s="8">
        <f t="shared" si="35"/>
        <v>8</v>
      </c>
      <c r="Q84" s="8">
        <f t="shared" si="36"/>
        <v>0</v>
      </c>
      <c r="R84" s="8">
        <f t="shared" si="37"/>
        <v>0</v>
      </c>
      <c r="S84" s="8">
        <f>SUM(Z84:BZ84)</f>
        <v>8</v>
      </c>
      <c r="T84" s="8"/>
      <c r="U84" s="8"/>
      <c r="V84" s="8"/>
      <c r="W84" s="8"/>
      <c r="X84" s="8"/>
      <c r="Y84" s="8"/>
      <c r="Z84" s="8"/>
      <c r="AA84" s="8"/>
      <c r="AB84" s="8"/>
      <c r="AC84" s="8">
        <v>0</v>
      </c>
      <c r="AD84" s="8"/>
      <c r="AE84" s="8">
        <v>1</v>
      </c>
      <c r="AF84" s="8"/>
      <c r="AG84" s="8">
        <v>1</v>
      </c>
      <c r="AH84" s="8"/>
      <c r="AI84" s="8"/>
      <c r="AJ84" s="8">
        <v>3</v>
      </c>
      <c r="AK84" s="8"/>
      <c r="AL84" s="8"/>
      <c r="AM84" s="8"/>
      <c r="AN84" s="8"/>
      <c r="AO84" s="8"/>
      <c r="AP84" s="8"/>
      <c r="AQ84" s="8"/>
      <c r="AR84" s="8">
        <v>0</v>
      </c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>
        <v>3</v>
      </c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>
        <v>0</v>
      </c>
      <c r="BS84" s="8"/>
      <c r="BT84" s="8"/>
      <c r="BU84" s="8"/>
      <c r="BV84" s="8"/>
      <c r="BW84" s="8"/>
      <c r="BX84" s="8"/>
      <c r="BY84" s="8"/>
      <c r="BZ84" s="8"/>
    </row>
    <row r="85" spans="1:78" ht="16.5" customHeight="1" x14ac:dyDescent="0.3">
      <c r="A85" t="s">
        <v>573</v>
      </c>
      <c r="B85" t="s">
        <v>92</v>
      </c>
      <c r="C85" t="s">
        <v>17</v>
      </c>
      <c r="D85" t="s">
        <v>623</v>
      </c>
      <c r="E85" t="s">
        <v>629</v>
      </c>
      <c r="F85" t="s">
        <v>631</v>
      </c>
      <c r="G85" s="5">
        <v>1494597</v>
      </c>
      <c r="H85" s="7" t="s">
        <v>184</v>
      </c>
      <c r="I85" s="5" t="s">
        <v>92</v>
      </c>
      <c r="J85" s="5">
        <v>0</v>
      </c>
      <c r="K85" s="5" t="s">
        <v>102</v>
      </c>
      <c r="L85" s="5" t="s">
        <v>109</v>
      </c>
      <c r="M85" s="5" t="s">
        <v>94</v>
      </c>
      <c r="N85" s="5" t="s">
        <v>119</v>
      </c>
      <c r="O85" s="4"/>
      <c r="P85" s="8">
        <f t="shared" si="35"/>
        <v>10</v>
      </c>
      <c r="Q85" s="8">
        <f t="shared" si="36"/>
        <v>0</v>
      </c>
      <c r="R85" s="8">
        <f t="shared" si="37"/>
        <v>0</v>
      </c>
      <c r="S85" s="8">
        <f>SUM(Z85:BZ85)</f>
        <v>10</v>
      </c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>
        <v>1</v>
      </c>
      <c r="AF85" s="8"/>
      <c r="AG85" s="8"/>
      <c r="AH85" s="8"/>
      <c r="AI85" s="8"/>
      <c r="AJ85" s="8">
        <v>3</v>
      </c>
      <c r="AK85" s="8"/>
      <c r="AL85" s="8"/>
      <c r="AM85" s="8"/>
      <c r="AN85" s="8"/>
      <c r="AO85" s="8"/>
      <c r="AP85" s="8"/>
      <c r="AQ85" s="8"/>
      <c r="AR85" s="8">
        <v>2</v>
      </c>
      <c r="AS85" s="8"/>
      <c r="AT85" s="8"/>
      <c r="AU85" s="8">
        <v>1</v>
      </c>
      <c r="AV85" s="8"/>
      <c r="AW85" s="8"/>
      <c r="AX85" s="8"/>
      <c r="AY85" s="8"/>
      <c r="AZ85" s="8"/>
      <c r="BA85" s="8"/>
      <c r="BB85" s="8"/>
      <c r="BC85" s="8">
        <v>2</v>
      </c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>
        <v>1</v>
      </c>
    </row>
    <row r="86" spans="1:78" ht="16.5" customHeight="1" x14ac:dyDescent="0.3">
      <c r="A86" t="s">
        <v>573</v>
      </c>
      <c r="B86" t="s">
        <v>92</v>
      </c>
      <c r="C86" t="s">
        <v>17</v>
      </c>
      <c r="D86" t="s">
        <v>623</v>
      </c>
      <c r="E86" t="s">
        <v>629</v>
      </c>
      <c r="F86" t="s">
        <v>632</v>
      </c>
      <c r="G86" s="5">
        <v>1494598</v>
      </c>
      <c r="H86" s="7" t="s">
        <v>185</v>
      </c>
      <c r="I86" s="5" t="s">
        <v>92</v>
      </c>
      <c r="J86" s="5">
        <v>0</v>
      </c>
      <c r="K86" s="5" t="s">
        <v>102</v>
      </c>
      <c r="L86" s="5" t="s">
        <v>109</v>
      </c>
      <c r="M86" s="5" t="s">
        <v>94</v>
      </c>
      <c r="N86" s="5" t="s">
        <v>119</v>
      </c>
      <c r="O86" s="4"/>
      <c r="P86" s="8">
        <f t="shared" si="35"/>
        <v>12</v>
      </c>
      <c r="Q86" s="8">
        <f t="shared" si="36"/>
        <v>0</v>
      </c>
      <c r="R86" s="8">
        <f t="shared" si="37"/>
        <v>0</v>
      </c>
      <c r="S86" s="8">
        <f>SUM(Z86:BZ86)</f>
        <v>12</v>
      </c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>
        <v>1</v>
      </c>
      <c r="AF86" s="8"/>
      <c r="AG86" s="8"/>
      <c r="AH86" s="8"/>
      <c r="AI86" s="8"/>
      <c r="AJ86" s="8">
        <v>4</v>
      </c>
      <c r="AK86" s="8"/>
      <c r="AL86" s="8"/>
      <c r="AM86" s="8"/>
      <c r="AN86" s="8"/>
      <c r="AO86" s="8"/>
      <c r="AP86" s="8"/>
      <c r="AQ86" s="8">
        <v>1</v>
      </c>
      <c r="AR86" s="8">
        <v>4</v>
      </c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>
        <v>2</v>
      </c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 spans="1:78" ht="16.5" customHeight="1" x14ac:dyDescent="0.3">
      <c r="G87" s="14">
        <v>1494748</v>
      </c>
      <c r="H87" s="15" t="s">
        <v>186</v>
      </c>
      <c r="I87" s="14" t="s">
        <v>92</v>
      </c>
      <c r="J87" s="14">
        <v>0</v>
      </c>
      <c r="K87" s="14" t="s">
        <v>97</v>
      </c>
      <c r="L87" s="14" t="s">
        <v>115</v>
      </c>
      <c r="M87" s="14" t="s">
        <v>94</v>
      </c>
      <c r="N87" s="14" t="s">
        <v>116</v>
      </c>
      <c r="O87" s="13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</row>
    <row r="88" spans="1:78" ht="16.5" customHeight="1" x14ac:dyDescent="0.3">
      <c r="A88" t="s">
        <v>573</v>
      </c>
      <c r="B88" t="s">
        <v>92</v>
      </c>
      <c r="C88" t="s">
        <v>17</v>
      </c>
      <c r="D88" t="s">
        <v>623</v>
      </c>
      <c r="E88" t="s">
        <v>633</v>
      </c>
      <c r="F88" t="s">
        <v>633</v>
      </c>
      <c r="G88" s="5">
        <v>1494748</v>
      </c>
      <c r="H88" s="7" t="s">
        <v>187</v>
      </c>
      <c r="I88" s="5" t="s">
        <v>92</v>
      </c>
      <c r="J88" s="5">
        <v>0</v>
      </c>
      <c r="K88" s="5" t="s">
        <v>97</v>
      </c>
      <c r="L88" s="5" t="s">
        <v>115</v>
      </c>
      <c r="M88" s="5" t="s">
        <v>94</v>
      </c>
      <c r="N88" s="5" t="s">
        <v>116</v>
      </c>
      <c r="O88" s="4"/>
      <c r="P88" s="8">
        <f t="shared" ref="P88:P91" si="38">SUM(Q88,R88,S88)</f>
        <v>1</v>
      </c>
      <c r="Q88" s="8">
        <f t="shared" ref="Q88:Q91" si="39">SUM(T88:V88)</f>
        <v>0</v>
      </c>
      <c r="R88" s="8">
        <f t="shared" ref="R88:R91" si="40">SUM(W88:Y88)</f>
        <v>0</v>
      </c>
      <c r="S88" s="8">
        <f>SUM(Z88:BZ88)</f>
        <v>1</v>
      </c>
      <c r="T88" s="8"/>
      <c r="U88" s="8"/>
      <c r="V88" s="8"/>
      <c r="W88" s="8"/>
      <c r="X88" s="8"/>
      <c r="Y88" s="8"/>
      <c r="Z88" s="8"/>
      <c r="AA88" s="8">
        <v>1</v>
      </c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 spans="1:78" ht="16.5" customHeight="1" x14ac:dyDescent="0.3">
      <c r="A89" t="s">
        <v>573</v>
      </c>
      <c r="B89" t="s">
        <v>92</v>
      </c>
      <c r="C89" t="s">
        <v>17</v>
      </c>
      <c r="D89" t="s">
        <v>623</v>
      </c>
      <c r="E89" t="s">
        <v>633</v>
      </c>
      <c r="F89" t="s">
        <v>634</v>
      </c>
      <c r="G89" s="5">
        <v>1494749</v>
      </c>
      <c r="H89" s="7" t="s">
        <v>188</v>
      </c>
      <c r="I89" s="5" t="s">
        <v>92</v>
      </c>
      <c r="J89" s="5">
        <v>0</v>
      </c>
      <c r="K89" s="5" t="s">
        <v>102</v>
      </c>
      <c r="L89" s="5" t="s">
        <v>109</v>
      </c>
      <c r="M89" s="5" t="s">
        <v>94</v>
      </c>
      <c r="N89" s="5" t="s">
        <v>119</v>
      </c>
      <c r="O89" s="4"/>
      <c r="P89" s="8">
        <f t="shared" si="38"/>
        <v>13</v>
      </c>
      <c r="Q89" s="8">
        <f t="shared" si="39"/>
        <v>0</v>
      </c>
      <c r="R89" s="8">
        <f t="shared" si="40"/>
        <v>0</v>
      </c>
      <c r="S89" s="8">
        <f>SUM(Z89:BZ89)</f>
        <v>13</v>
      </c>
      <c r="T89" s="8"/>
      <c r="U89" s="8"/>
      <c r="V89" s="8"/>
      <c r="W89" s="8"/>
      <c r="X89" s="8"/>
      <c r="Y89" s="8"/>
      <c r="Z89" s="8"/>
      <c r="AA89" s="8"/>
      <c r="AB89" s="8"/>
      <c r="AC89" s="8">
        <v>1</v>
      </c>
      <c r="AD89" s="8"/>
      <c r="AE89" s="8"/>
      <c r="AF89" s="8"/>
      <c r="AG89" s="8">
        <v>1</v>
      </c>
      <c r="AH89" s="8"/>
      <c r="AI89" s="8"/>
      <c r="AJ89" s="8">
        <v>3</v>
      </c>
      <c r="AK89" s="8"/>
      <c r="AL89" s="8">
        <v>1</v>
      </c>
      <c r="AM89" s="8"/>
      <c r="AN89" s="8"/>
      <c r="AO89" s="8"/>
      <c r="AP89" s="8"/>
      <c r="AQ89" s="8"/>
      <c r="AR89" s="8">
        <v>1</v>
      </c>
      <c r="AS89" s="8"/>
      <c r="AT89" s="8"/>
      <c r="AU89" s="8">
        <v>1</v>
      </c>
      <c r="AV89" s="8"/>
      <c r="AW89" s="8"/>
      <c r="AX89" s="8"/>
      <c r="AY89" s="8"/>
      <c r="AZ89" s="8"/>
      <c r="BA89" s="8"/>
      <c r="BB89" s="8"/>
      <c r="BC89" s="8">
        <v>4</v>
      </c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>
        <v>1</v>
      </c>
    </row>
    <row r="90" spans="1:78" ht="16.5" customHeight="1" x14ac:dyDescent="0.3">
      <c r="A90" t="s">
        <v>573</v>
      </c>
      <c r="B90" t="s">
        <v>92</v>
      </c>
      <c r="C90" t="s">
        <v>17</v>
      </c>
      <c r="D90" t="s">
        <v>623</v>
      </c>
      <c r="E90" t="s">
        <v>633</v>
      </c>
      <c r="F90" t="s">
        <v>635</v>
      </c>
      <c r="G90" s="5">
        <v>1494750</v>
      </c>
      <c r="H90" s="7" t="s">
        <v>189</v>
      </c>
      <c r="I90" s="5" t="s">
        <v>92</v>
      </c>
      <c r="J90" s="5">
        <v>0</v>
      </c>
      <c r="K90" s="5" t="s">
        <v>102</v>
      </c>
      <c r="L90" s="5" t="s">
        <v>109</v>
      </c>
      <c r="M90" s="5" t="s">
        <v>94</v>
      </c>
      <c r="N90" s="5" t="s">
        <v>119</v>
      </c>
      <c r="O90" s="4"/>
      <c r="P90" s="8">
        <f t="shared" si="38"/>
        <v>10</v>
      </c>
      <c r="Q90" s="8">
        <f t="shared" si="39"/>
        <v>0</v>
      </c>
      <c r="R90" s="8">
        <f t="shared" si="40"/>
        <v>0</v>
      </c>
      <c r="S90" s="8">
        <f>SUM(Z90:BZ90)</f>
        <v>10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>
        <v>1</v>
      </c>
      <c r="AF90" s="8"/>
      <c r="AG90" s="8">
        <v>1</v>
      </c>
      <c r="AH90" s="8"/>
      <c r="AI90" s="8"/>
      <c r="AJ90" s="8">
        <v>3</v>
      </c>
      <c r="AK90" s="8"/>
      <c r="AL90" s="8"/>
      <c r="AM90" s="8"/>
      <c r="AN90" s="8"/>
      <c r="AO90" s="8"/>
      <c r="AP90" s="8"/>
      <c r="AQ90" s="8"/>
      <c r="AR90" s="8">
        <v>4</v>
      </c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>
        <v>1</v>
      </c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 spans="1:78" ht="16.5" customHeight="1" x14ac:dyDescent="0.3">
      <c r="A91" t="s">
        <v>573</v>
      </c>
      <c r="B91" t="s">
        <v>92</v>
      </c>
      <c r="C91" t="s">
        <v>17</v>
      </c>
      <c r="D91" t="s">
        <v>623</v>
      </c>
      <c r="E91" t="s">
        <v>633</v>
      </c>
      <c r="F91" t="s">
        <v>636</v>
      </c>
      <c r="G91" s="5">
        <v>1494751</v>
      </c>
      <c r="H91" s="7" t="s">
        <v>190</v>
      </c>
      <c r="I91" s="5" t="s">
        <v>92</v>
      </c>
      <c r="J91" s="5">
        <v>0</v>
      </c>
      <c r="K91" s="5" t="s">
        <v>102</v>
      </c>
      <c r="L91" s="5" t="s">
        <v>109</v>
      </c>
      <c r="M91" s="5" t="s">
        <v>94</v>
      </c>
      <c r="N91" s="5" t="s">
        <v>119</v>
      </c>
      <c r="O91" s="4"/>
      <c r="P91" s="8">
        <f t="shared" si="38"/>
        <v>9</v>
      </c>
      <c r="Q91" s="8">
        <f t="shared" si="39"/>
        <v>0</v>
      </c>
      <c r="R91" s="8">
        <f t="shared" si="40"/>
        <v>0</v>
      </c>
      <c r="S91" s="8">
        <f>SUM(Z91:BZ91)</f>
        <v>9</v>
      </c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>
        <v>1</v>
      </c>
      <c r="AF91" s="8"/>
      <c r="AG91" s="8"/>
      <c r="AH91" s="8"/>
      <c r="AI91" s="8"/>
      <c r="AJ91" s="8">
        <v>2</v>
      </c>
      <c r="AK91" s="8">
        <v>1</v>
      </c>
      <c r="AL91" s="8"/>
      <c r="AM91" s="8"/>
      <c r="AN91" s="8"/>
      <c r="AO91" s="8"/>
      <c r="AP91" s="8"/>
      <c r="AQ91" s="8"/>
      <c r="AR91" s="8"/>
      <c r="AS91" s="8">
        <v>1</v>
      </c>
      <c r="AT91" s="8"/>
      <c r="AU91" s="8"/>
      <c r="AV91" s="8">
        <v>1</v>
      </c>
      <c r="AW91" s="8"/>
      <c r="AX91" s="8"/>
      <c r="AY91" s="8"/>
      <c r="AZ91" s="8"/>
      <c r="BA91" s="8"/>
      <c r="BB91" s="8"/>
      <c r="BC91" s="8">
        <v>2</v>
      </c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>
        <v>1</v>
      </c>
    </row>
    <row r="92" spans="1:78" ht="16.5" customHeight="1" x14ac:dyDescent="0.3">
      <c r="G92" s="14">
        <v>1494965</v>
      </c>
      <c r="H92" s="15" t="s">
        <v>191</v>
      </c>
      <c r="I92" s="14" t="s">
        <v>92</v>
      </c>
      <c r="J92" s="14">
        <v>0</v>
      </c>
      <c r="K92" s="14" t="s">
        <v>97</v>
      </c>
      <c r="L92" s="14" t="s">
        <v>115</v>
      </c>
      <c r="M92" s="14" t="s">
        <v>94</v>
      </c>
      <c r="N92" s="14" t="s">
        <v>116</v>
      </c>
      <c r="O92" s="13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</row>
    <row r="93" spans="1:78" ht="16.5" customHeight="1" x14ac:dyDescent="0.3">
      <c r="A93" t="s">
        <v>573</v>
      </c>
      <c r="B93" t="s">
        <v>92</v>
      </c>
      <c r="C93" t="s">
        <v>17</v>
      </c>
      <c r="D93" t="s">
        <v>623</v>
      </c>
      <c r="E93" t="s">
        <v>637</v>
      </c>
      <c r="F93" t="s">
        <v>637</v>
      </c>
      <c r="G93" s="5">
        <v>1494965</v>
      </c>
      <c r="H93" s="7" t="s">
        <v>192</v>
      </c>
      <c r="I93" s="5" t="s">
        <v>92</v>
      </c>
      <c r="J93" s="5">
        <v>0</v>
      </c>
      <c r="K93" s="5" t="s">
        <v>97</v>
      </c>
      <c r="L93" s="5" t="s">
        <v>115</v>
      </c>
      <c r="M93" s="5" t="s">
        <v>94</v>
      </c>
      <c r="N93" s="5" t="s">
        <v>116</v>
      </c>
      <c r="O93" s="4"/>
      <c r="P93" s="8">
        <f t="shared" ref="P93:P97" si="41">SUM(Q93,R93,S93)</f>
        <v>1</v>
      </c>
      <c r="Q93" s="8">
        <f t="shared" ref="Q93:Q97" si="42">SUM(T93:V93)</f>
        <v>0</v>
      </c>
      <c r="R93" s="8">
        <f t="shared" ref="R93:R97" si="43">SUM(W93:Y93)</f>
        <v>0</v>
      </c>
      <c r="S93" s="8">
        <f>SUM(Z93:BZ93)</f>
        <v>1</v>
      </c>
      <c r="T93" s="8"/>
      <c r="U93" s="8"/>
      <c r="V93" s="8"/>
      <c r="W93" s="8"/>
      <c r="X93" s="8"/>
      <c r="Y93" s="8"/>
      <c r="Z93" s="8"/>
      <c r="AA93" s="8">
        <v>1</v>
      </c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</row>
    <row r="94" spans="1:78" ht="16.5" customHeight="1" x14ac:dyDescent="0.3">
      <c r="A94" t="s">
        <v>573</v>
      </c>
      <c r="B94" t="s">
        <v>92</v>
      </c>
      <c r="C94" t="s">
        <v>17</v>
      </c>
      <c r="D94" t="s">
        <v>623</v>
      </c>
      <c r="E94" t="s">
        <v>637</v>
      </c>
      <c r="F94" t="s">
        <v>638</v>
      </c>
      <c r="G94" s="5">
        <v>1494967</v>
      </c>
      <c r="H94" s="7" t="s">
        <v>193</v>
      </c>
      <c r="I94" s="5" t="s">
        <v>92</v>
      </c>
      <c r="J94" s="5">
        <v>0</v>
      </c>
      <c r="K94" s="5" t="s">
        <v>102</v>
      </c>
      <c r="L94" s="5" t="s">
        <v>109</v>
      </c>
      <c r="M94" s="5" t="s">
        <v>94</v>
      </c>
      <c r="N94" s="5" t="s">
        <v>119</v>
      </c>
      <c r="O94" s="4"/>
      <c r="P94" s="8">
        <f t="shared" si="41"/>
        <v>13</v>
      </c>
      <c r="Q94" s="8">
        <f t="shared" si="42"/>
        <v>0</v>
      </c>
      <c r="R94" s="8">
        <f t="shared" si="43"/>
        <v>0</v>
      </c>
      <c r="S94" s="8">
        <f>SUM(Z94:BZ94)</f>
        <v>13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>
        <v>1</v>
      </c>
      <c r="AF94" s="8"/>
      <c r="AG94" s="8"/>
      <c r="AH94" s="8"/>
      <c r="AI94" s="8"/>
      <c r="AJ94" s="8">
        <v>3</v>
      </c>
      <c r="AK94" s="8"/>
      <c r="AL94" s="8">
        <v>1</v>
      </c>
      <c r="AM94" s="8"/>
      <c r="AN94" s="8"/>
      <c r="AO94" s="8"/>
      <c r="AP94" s="8">
        <v>1</v>
      </c>
      <c r="AQ94" s="8"/>
      <c r="AR94" s="8">
        <v>2</v>
      </c>
      <c r="AS94" s="8"/>
      <c r="AT94" s="8"/>
      <c r="AU94" s="8"/>
      <c r="AV94" s="8"/>
      <c r="AW94" s="8"/>
      <c r="AX94" s="8"/>
      <c r="AY94" s="8"/>
      <c r="AZ94" s="8"/>
      <c r="BA94" s="8">
        <v>1</v>
      </c>
      <c r="BB94" s="8"/>
      <c r="BC94" s="8">
        <v>2</v>
      </c>
      <c r="BD94" s="8"/>
      <c r="BE94" s="8">
        <v>1</v>
      </c>
      <c r="BF94" s="8"/>
      <c r="BG94" s="8"/>
      <c r="BH94" s="8"/>
      <c r="BI94" s="8"/>
      <c r="BJ94" s="8"/>
      <c r="BK94" s="8"/>
      <c r="BL94" s="8">
        <v>1</v>
      </c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 spans="1:78" ht="16.5" customHeight="1" x14ac:dyDescent="0.3">
      <c r="A95" t="s">
        <v>573</v>
      </c>
      <c r="B95" t="s">
        <v>92</v>
      </c>
      <c r="C95" t="s">
        <v>17</v>
      </c>
      <c r="D95" t="s">
        <v>623</v>
      </c>
      <c r="E95" t="s">
        <v>637</v>
      </c>
      <c r="F95" t="s">
        <v>639</v>
      </c>
      <c r="G95" s="5">
        <v>1494971</v>
      </c>
      <c r="H95" s="7" t="s">
        <v>194</v>
      </c>
      <c r="I95" s="5" t="s">
        <v>92</v>
      </c>
      <c r="J95" s="5">
        <v>0</v>
      </c>
      <c r="K95" s="5" t="s">
        <v>102</v>
      </c>
      <c r="L95" s="5" t="s">
        <v>109</v>
      </c>
      <c r="M95" s="5" t="s">
        <v>94</v>
      </c>
      <c r="N95" s="5" t="s">
        <v>119</v>
      </c>
      <c r="O95" s="4"/>
      <c r="P95" s="8">
        <f t="shared" si="41"/>
        <v>8</v>
      </c>
      <c r="Q95" s="8">
        <f t="shared" si="42"/>
        <v>0</v>
      </c>
      <c r="R95" s="8">
        <f t="shared" si="43"/>
        <v>0</v>
      </c>
      <c r="S95" s="8">
        <f>SUM(Z95:BZ95)</f>
        <v>8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>
        <v>1</v>
      </c>
      <c r="AF95" s="8"/>
      <c r="AG95" s="8"/>
      <c r="AH95" s="8">
        <v>1</v>
      </c>
      <c r="AI95" s="8"/>
      <c r="AJ95" s="8"/>
      <c r="AK95" s="8"/>
      <c r="AL95" s="8"/>
      <c r="AM95" s="8"/>
      <c r="AN95" s="8"/>
      <c r="AO95" s="8"/>
      <c r="AP95" s="8"/>
      <c r="AQ95" s="8">
        <v>2</v>
      </c>
      <c r="AR95" s="8"/>
      <c r="AS95" s="8"/>
      <c r="AT95" s="8">
        <v>2</v>
      </c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>
        <v>2</v>
      </c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</row>
    <row r="96" spans="1:78" ht="16.5" customHeight="1" x14ac:dyDescent="0.3">
      <c r="A96" t="s">
        <v>573</v>
      </c>
      <c r="B96" t="s">
        <v>92</v>
      </c>
      <c r="C96" t="s">
        <v>195</v>
      </c>
      <c r="D96" t="s">
        <v>195</v>
      </c>
      <c r="E96" t="s">
        <v>195</v>
      </c>
      <c r="F96" t="s">
        <v>195</v>
      </c>
      <c r="G96" s="5">
        <v>1494953</v>
      </c>
      <c r="H96" s="7" t="s">
        <v>195</v>
      </c>
      <c r="I96" s="5" t="s">
        <v>92</v>
      </c>
      <c r="J96" s="5">
        <v>0</v>
      </c>
      <c r="K96" s="5" t="s">
        <v>102</v>
      </c>
      <c r="L96" s="5" t="s">
        <v>196</v>
      </c>
      <c r="M96" s="5" t="s">
        <v>94</v>
      </c>
      <c r="N96" s="5" t="s">
        <v>197</v>
      </c>
      <c r="O96" s="4"/>
      <c r="P96" s="8">
        <f t="shared" si="41"/>
        <v>4</v>
      </c>
      <c r="Q96" s="8">
        <f t="shared" si="42"/>
        <v>1</v>
      </c>
      <c r="R96" s="8">
        <f t="shared" si="43"/>
        <v>0</v>
      </c>
      <c r="S96" s="8">
        <f>SUM(Z96:BZ96)</f>
        <v>3</v>
      </c>
      <c r="T96" s="8"/>
      <c r="U96" s="8"/>
      <c r="V96" s="8">
        <v>1</v>
      </c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>
        <v>1</v>
      </c>
      <c r="AR96" s="8"/>
      <c r="AS96" s="8"/>
      <c r="AT96" s="8">
        <v>1</v>
      </c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>
        <v>1</v>
      </c>
      <c r="BT96" s="8"/>
      <c r="BU96" s="8"/>
      <c r="BV96" s="8"/>
      <c r="BW96" s="8"/>
      <c r="BX96" s="8"/>
      <c r="BY96" s="8"/>
      <c r="BZ96" s="8"/>
    </row>
    <row r="97" spans="1:78" ht="16.5" customHeight="1" x14ac:dyDescent="0.3">
      <c r="A97" t="s">
        <v>573</v>
      </c>
      <c r="B97" t="s">
        <v>92</v>
      </c>
      <c r="C97" t="s">
        <v>17</v>
      </c>
      <c r="D97" t="s">
        <v>198</v>
      </c>
      <c r="E97" t="s">
        <v>198</v>
      </c>
      <c r="F97" t="s">
        <v>198</v>
      </c>
      <c r="G97" s="5">
        <v>1493632</v>
      </c>
      <c r="H97" s="7" t="s">
        <v>198</v>
      </c>
      <c r="I97" s="5" t="s">
        <v>92</v>
      </c>
      <c r="J97" s="5">
        <v>0</v>
      </c>
      <c r="K97" s="5" t="s">
        <v>102</v>
      </c>
      <c r="L97" s="5" t="s">
        <v>109</v>
      </c>
      <c r="M97" s="5" t="s">
        <v>94</v>
      </c>
      <c r="N97" s="5" t="s">
        <v>119</v>
      </c>
      <c r="O97" s="4"/>
      <c r="P97" s="8">
        <f t="shared" si="41"/>
        <v>39</v>
      </c>
      <c r="Q97" s="8">
        <f t="shared" si="42"/>
        <v>0</v>
      </c>
      <c r="R97" s="8">
        <f t="shared" si="43"/>
        <v>0</v>
      </c>
      <c r="S97" s="8">
        <f>SUM(Z97:BZ97)</f>
        <v>39</v>
      </c>
      <c r="T97" s="8"/>
      <c r="U97" s="8"/>
      <c r="V97" s="8"/>
      <c r="W97" s="8"/>
      <c r="X97" s="8"/>
      <c r="Y97" s="8"/>
      <c r="Z97" s="8"/>
      <c r="AA97" s="8"/>
      <c r="AB97" s="8"/>
      <c r="AC97" s="8">
        <v>1</v>
      </c>
      <c r="AD97" s="8"/>
      <c r="AE97" s="8">
        <v>0</v>
      </c>
      <c r="AF97" s="8"/>
      <c r="AG97" s="8"/>
      <c r="AH97" s="8"/>
      <c r="AI97" s="8"/>
      <c r="AJ97" s="8"/>
      <c r="AK97" s="8"/>
      <c r="AL97" s="8"/>
      <c r="AM97" s="8"/>
      <c r="AN97" s="8">
        <v>1</v>
      </c>
      <c r="AO97" s="8"/>
      <c r="AP97" s="8"/>
      <c r="AQ97" s="8">
        <v>5</v>
      </c>
      <c r="AR97" s="8"/>
      <c r="AS97" s="8"/>
      <c r="AT97" s="8">
        <v>7</v>
      </c>
      <c r="AU97" s="8"/>
      <c r="AV97" s="8"/>
      <c r="AW97" s="8"/>
      <c r="AX97" s="8"/>
      <c r="AY97" s="8"/>
      <c r="AZ97" s="8">
        <v>1</v>
      </c>
      <c r="BA97" s="8"/>
      <c r="BB97" s="8">
        <v>1</v>
      </c>
      <c r="BC97" s="8"/>
      <c r="BD97" s="8"/>
      <c r="BE97" s="8">
        <v>11</v>
      </c>
      <c r="BF97" s="8"/>
      <c r="BG97" s="8">
        <v>2</v>
      </c>
      <c r="BH97" s="8"/>
      <c r="BI97" s="8"/>
      <c r="BJ97" s="8">
        <v>2</v>
      </c>
      <c r="BK97" s="8">
        <v>1</v>
      </c>
      <c r="BL97" s="8"/>
      <c r="BM97" s="8"/>
      <c r="BN97" s="8">
        <v>1</v>
      </c>
      <c r="BO97" s="8">
        <v>1</v>
      </c>
      <c r="BP97" s="8"/>
      <c r="BQ97" s="8">
        <v>2</v>
      </c>
      <c r="BR97" s="8">
        <v>1</v>
      </c>
      <c r="BS97" s="8">
        <v>1</v>
      </c>
      <c r="BT97" s="8"/>
      <c r="BU97" s="8">
        <v>1</v>
      </c>
      <c r="BV97" s="8"/>
      <c r="BW97" s="8"/>
      <c r="BX97" s="8"/>
      <c r="BY97" s="8"/>
      <c r="BZ97" s="8"/>
    </row>
    <row r="98" spans="1:78" ht="16.5" customHeight="1" x14ac:dyDescent="0.3">
      <c r="A98" t="s">
        <v>573</v>
      </c>
      <c r="B98" t="s">
        <v>92</v>
      </c>
      <c r="C98" t="s">
        <v>195</v>
      </c>
      <c r="D98" t="s">
        <v>640</v>
      </c>
      <c r="E98" t="s">
        <v>640</v>
      </c>
      <c r="F98" t="s">
        <v>640</v>
      </c>
      <c r="G98" s="10">
        <v>1494954</v>
      </c>
      <c r="H98" s="11" t="s">
        <v>199</v>
      </c>
      <c r="I98" s="10" t="s">
        <v>92</v>
      </c>
      <c r="J98" s="10">
        <v>0</v>
      </c>
      <c r="K98" s="10" t="s">
        <v>102</v>
      </c>
      <c r="L98" s="10" t="s">
        <v>105</v>
      </c>
      <c r="M98" s="10" t="s">
        <v>94</v>
      </c>
      <c r="N98" s="10" t="s">
        <v>106</v>
      </c>
      <c r="O98" s="9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</row>
    <row r="99" spans="1:78" ht="16.5" customHeight="1" x14ac:dyDescent="0.3">
      <c r="G99" s="5">
        <v>1494954</v>
      </c>
      <c r="H99" s="7" t="s">
        <v>200</v>
      </c>
      <c r="I99" s="5" t="s">
        <v>92</v>
      </c>
      <c r="J99" s="5">
        <v>0</v>
      </c>
      <c r="K99" s="5" t="s">
        <v>102</v>
      </c>
      <c r="L99" s="5" t="s">
        <v>105</v>
      </c>
      <c r="M99" s="5" t="s">
        <v>94</v>
      </c>
      <c r="N99" s="5" t="s">
        <v>106</v>
      </c>
      <c r="O99" s="4"/>
      <c r="P99" s="8">
        <f>SUM(Q99,R99,S99)</f>
        <v>1</v>
      </c>
      <c r="Q99" s="8">
        <f>SUM(T99:V99)</f>
        <v>0</v>
      </c>
      <c r="R99" s="8">
        <f>SUM(W99:Y99)</f>
        <v>0</v>
      </c>
      <c r="S99" s="8">
        <f>SUM(Z99:BZ99)</f>
        <v>1</v>
      </c>
      <c r="T99" s="8"/>
      <c r="U99" s="8"/>
      <c r="V99" s="8"/>
      <c r="W99" s="8"/>
      <c r="X99" s="8"/>
      <c r="Y99" s="8"/>
      <c r="Z99" s="8">
        <v>1</v>
      </c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</row>
    <row r="100" spans="1:78" ht="16.5" customHeight="1" x14ac:dyDescent="0.3">
      <c r="G100" s="14">
        <v>1494957</v>
      </c>
      <c r="H100" s="15" t="s">
        <v>201</v>
      </c>
      <c r="I100" s="14" t="s">
        <v>92</v>
      </c>
      <c r="J100" s="14">
        <v>0</v>
      </c>
      <c r="K100" s="14" t="s">
        <v>97</v>
      </c>
      <c r="L100" s="14" t="s">
        <v>115</v>
      </c>
      <c r="M100" s="14" t="s">
        <v>94</v>
      </c>
      <c r="N100" s="14" t="s">
        <v>116</v>
      </c>
      <c r="O100" s="13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</row>
    <row r="101" spans="1:78" ht="16.5" customHeight="1" x14ac:dyDescent="0.3">
      <c r="A101" t="s">
        <v>573</v>
      </c>
      <c r="B101" t="s">
        <v>92</v>
      </c>
      <c r="C101" t="s">
        <v>195</v>
      </c>
      <c r="D101" t="s">
        <v>640</v>
      </c>
      <c r="E101" t="s">
        <v>640</v>
      </c>
      <c r="F101" t="s">
        <v>641</v>
      </c>
      <c r="G101" s="5">
        <v>1494957</v>
      </c>
      <c r="H101" s="7" t="s">
        <v>202</v>
      </c>
      <c r="I101" s="5" t="s">
        <v>92</v>
      </c>
      <c r="J101" s="5">
        <v>0</v>
      </c>
      <c r="K101" s="5" t="s">
        <v>97</v>
      </c>
      <c r="L101" s="5" t="s">
        <v>115</v>
      </c>
      <c r="M101" s="5" t="s">
        <v>94</v>
      </c>
      <c r="N101" s="5" t="s">
        <v>116</v>
      </c>
      <c r="O101" s="4"/>
      <c r="P101" s="8">
        <f t="shared" ref="P101:P104" si="44">SUM(Q101,R101,S101)</f>
        <v>1</v>
      </c>
      <c r="Q101" s="8">
        <f t="shared" ref="Q101:Q104" si="45">SUM(T101:V101)</f>
        <v>0</v>
      </c>
      <c r="R101" s="8">
        <f t="shared" ref="R101:R104" si="46">SUM(W101:Y101)</f>
        <v>0</v>
      </c>
      <c r="S101" s="8">
        <f>SUM(Z101:BZ101)</f>
        <v>1</v>
      </c>
      <c r="T101" s="8"/>
      <c r="U101" s="8"/>
      <c r="V101" s="8"/>
      <c r="W101" s="8"/>
      <c r="X101" s="8"/>
      <c r="Y101" s="8"/>
      <c r="Z101" s="8"/>
      <c r="AA101" s="8">
        <v>1</v>
      </c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</row>
    <row r="102" spans="1:78" ht="16.5" customHeight="1" x14ac:dyDescent="0.3">
      <c r="A102" t="s">
        <v>573</v>
      </c>
      <c r="B102" t="s">
        <v>92</v>
      </c>
      <c r="C102" t="s">
        <v>195</v>
      </c>
      <c r="D102" t="s">
        <v>640</v>
      </c>
      <c r="E102" t="s">
        <v>641</v>
      </c>
      <c r="F102" t="s">
        <v>642</v>
      </c>
      <c r="G102" s="5">
        <v>1494970</v>
      </c>
      <c r="H102" s="7" t="s">
        <v>203</v>
      </c>
      <c r="I102" s="5" t="s">
        <v>92</v>
      </c>
      <c r="J102" s="5">
        <v>0</v>
      </c>
      <c r="K102" s="5" t="s">
        <v>102</v>
      </c>
      <c r="L102" s="5" t="s">
        <v>109</v>
      </c>
      <c r="M102" s="5" t="s">
        <v>94</v>
      </c>
      <c r="N102" s="5" t="s">
        <v>119</v>
      </c>
      <c r="O102" s="4"/>
      <c r="P102" s="8">
        <f t="shared" si="44"/>
        <v>9</v>
      </c>
      <c r="Q102" s="8">
        <f t="shared" si="45"/>
        <v>0</v>
      </c>
      <c r="R102" s="8">
        <f t="shared" si="46"/>
        <v>0</v>
      </c>
      <c r="S102" s="8">
        <f>SUM(Z102:BZ102)</f>
        <v>9</v>
      </c>
      <c r="T102" s="8"/>
      <c r="U102" s="8"/>
      <c r="V102" s="8"/>
      <c r="W102" s="8"/>
      <c r="X102" s="8"/>
      <c r="Y102" s="8"/>
      <c r="Z102" s="8"/>
      <c r="AA102" s="8"/>
      <c r="AB102" s="8"/>
      <c r="AC102" s="8">
        <v>1</v>
      </c>
      <c r="AD102" s="8"/>
      <c r="AE102" s="8"/>
      <c r="AF102" s="8"/>
      <c r="AG102" s="8"/>
      <c r="AH102" s="8">
        <v>2</v>
      </c>
      <c r="AI102" s="8"/>
      <c r="AJ102" s="8">
        <v>0</v>
      </c>
      <c r="AK102" s="8"/>
      <c r="AL102" s="8">
        <v>2</v>
      </c>
      <c r="AM102" s="8"/>
      <c r="AN102" s="8"/>
      <c r="AO102" s="8"/>
      <c r="AP102" s="8"/>
      <c r="AQ102" s="8"/>
      <c r="AR102" s="8">
        <v>0</v>
      </c>
      <c r="AS102" s="8">
        <v>1</v>
      </c>
      <c r="AT102" s="8">
        <v>1</v>
      </c>
      <c r="AU102" s="8">
        <v>1</v>
      </c>
      <c r="AV102" s="8"/>
      <c r="AW102" s="8"/>
      <c r="AX102" s="8"/>
      <c r="AY102" s="8"/>
      <c r="AZ102" s="8">
        <v>0</v>
      </c>
      <c r="BA102" s="8"/>
      <c r="BB102" s="8"/>
      <c r="BC102" s="8"/>
      <c r="BD102" s="8"/>
      <c r="BE102" s="8"/>
      <c r="BF102" s="8"/>
      <c r="BG102" s="8"/>
      <c r="BH102" s="8"/>
      <c r="BI102" s="8"/>
      <c r="BJ102" s="8">
        <v>1</v>
      </c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 spans="1:78" ht="16.5" customHeight="1" x14ac:dyDescent="0.3">
      <c r="A103" t="s">
        <v>573</v>
      </c>
      <c r="B103" t="s">
        <v>92</v>
      </c>
      <c r="C103" t="s">
        <v>195</v>
      </c>
      <c r="D103" t="s">
        <v>640</v>
      </c>
      <c r="E103" t="s">
        <v>641</v>
      </c>
      <c r="F103" t="s">
        <v>643</v>
      </c>
      <c r="G103" s="5">
        <v>1494974</v>
      </c>
      <c r="H103" s="7" t="s">
        <v>204</v>
      </c>
      <c r="I103" s="5" t="s">
        <v>92</v>
      </c>
      <c r="J103" s="5">
        <v>0</v>
      </c>
      <c r="K103" s="5" t="s">
        <v>102</v>
      </c>
      <c r="L103" s="5" t="s">
        <v>109</v>
      </c>
      <c r="M103" s="5" t="s">
        <v>94</v>
      </c>
      <c r="N103" s="5" t="s">
        <v>119</v>
      </c>
      <c r="O103" s="4"/>
      <c r="P103" s="8">
        <f t="shared" si="44"/>
        <v>8</v>
      </c>
      <c r="Q103" s="8">
        <f t="shared" si="45"/>
        <v>0</v>
      </c>
      <c r="R103" s="8">
        <f t="shared" si="46"/>
        <v>0</v>
      </c>
      <c r="S103" s="8">
        <f>SUM(Z103:BZ103)</f>
        <v>8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>
        <v>1</v>
      </c>
      <c r="AF103" s="8"/>
      <c r="AG103" s="8"/>
      <c r="AH103" s="8"/>
      <c r="AI103" s="8"/>
      <c r="AJ103" s="8">
        <v>1</v>
      </c>
      <c r="AK103" s="8"/>
      <c r="AL103" s="8">
        <v>1</v>
      </c>
      <c r="AM103" s="8"/>
      <c r="AN103" s="8">
        <v>0</v>
      </c>
      <c r="AO103" s="8"/>
      <c r="AP103" s="8"/>
      <c r="AQ103" s="8">
        <v>1</v>
      </c>
      <c r="AR103" s="8"/>
      <c r="AS103" s="8"/>
      <c r="AT103" s="8"/>
      <c r="AU103" s="8"/>
      <c r="AV103" s="8">
        <v>1</v>
      </c>
      <c r="AW103" s="8"/>
      <c r="AX103" s="8"/>
      <c r="AY103" s="8"/>
      <c r="AZ103" s="8">
        <v>1</v>
      </c>
      <c r="BA103" s="8"/>
      <c r="BB103" s="8"/>
      <c r="BC103" s="8"/>
      <c r="BD103" s="8"/>
      <c r="BE103" s="8">
        <v>2</v>
      </c>
      <c r="BF103" s="8"/>
      <c r="BG103" s="8"/>
      <c r="BH103" s="8"/>
      <c r="BI103" s="8"/>
      <c r="BJ103" s="8">
        <v>0</v>
      </c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</row>
    <row r="104" spans="1:78" ht="16.5" customHeight="1" x14ac:dyDescent="0.3">
      <c r="A104" t="s">
        <v>573</v>
      </c>
      <c r="B104" t="s">
        <v>92</v>
      </c>
      <c r="C104" t="s">
        <v>195</v>
      </c>
      <c r="D104" t="s">
        <v>640</v>
      </c>
      <c r="E104" t="s">
        <v>641</v>
      </c>
      <c r="F104" t="s">
        <v>644</v>
      </c>
      <c r="G104" s="5">
        <v>1494977</v>
      </c>
      <c r="H104" s="7" t="s">
        <v>205</v>
      </c>
      <c r="I104" s="5" t="s">
        <v>92</v>
      </c>
      <c r="J104" s="5">
        <v>0</v>
      </c>
      <c r="K104" s="5" t="s">
        <v>102</v>
      </c>
      <c r="L104" s="5" t="s">
        <v>109</v>
      </c>
      <c r="M104" s="5" t="s">
        <v>94</v>
      </c>
      <c r="N104" s="5" t="s">
        <v>119</v>
      </c>
      <c r="O104" s="4"/>
      <c r="P104" s="8">
        <f t="shared" si="44"/>
        <v>7</v>
      </c>
      <c r="Q104" s="8">
        <f t="shared" si="45"/>
        <v>0</v>
      </c>
      <c r="R104" s="8">
        <f t="shared" si="46"/>
        <v>0</v>
      </c>
      <c r="S104" s="8">
        <f>SUM(Z104:BZ104)</f>
        <v>7</v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>
        <v>1</v>
      </c>
      <c r="AF104" s="8"/>
      <c r="AG104" s="8"/>
      <c r="AH104" s="8"/>
      <c r="AI104" s="8"/>
      <c r="AJ104" s="8"/>
      <c r="AK104" s="8"/>
      <c r="AL104" s="8">
        <v>2</v>
      </c>
      <c r="AM104" s="8"/>
      <c r="AN104" s="8">
        <v>1</v>
      </c>
      <c r="AO104" s="8"/>
      <c r="AP104" s="8"/>
      <c r="AQ104" s="8"/>
      <c r="AR104" s="8"/>
      <c r="AS104" s="8"/>
      <c r="AT104" s="8"/>
      <c r="AU104" s="8">
        <v>0</v>
      </c>
      <c r="AV104" s="8"/>
      <c r="AW104" s="8"/>
      <c r="AX104" s="8"/>
      <c r="AY104" s="8"/>
      <c r="AZ104" s="8">
        <v>1</v>
      </c>
      <c r="BA104" s="8"/>
      <c r="BB104" s="8"/>
      <c r="BC104" s="8"/>
      <c r="BD104" s="8"/>
      <c r="BE104" s="8"/>
      <c r="BF104" s="8">
        <v>1</v>
      </c>
      <c r="BG104" s="8"/>
      <c r="BH104" s="8"/>
      <c r="BI104" s="8"/>
      <c r="BJ104" s="8">
        <v>1</v>
      </c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 spans="1:78" ht="16.5" customHeight="1" x14ac:dyDescent="0.3">
      <c r="G105" s="14">
        <v>1494960</v>
      </c>
      <c r="H105" s="15" t="s">
        <v>206</v>
      </c>
      <c r="I105" s="14" t="s">
        <v>92</v>
      </c>
      <c r="J105" s="14">
        <v>0</v>
      </c>
      <c r="K105" s="14" t="s">
        <v>97</v>
      </c>
      <c r="L105" s="14" t="s">
        <v>115</v>
      </c>
      <c r="M105" s="14" t="s">
        <v>94</v>
      </c>
      <c r="N105" s="14" t="s">
        <v>116</v>
      </c>
      <c r="O105" s="13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</row>
    <row r="106" spans="1:78" ht="16.5" customHeight="1" x14ac:dyDescent="0.3">
      <c r="A106" t="s">
        <v>573</v>
      </c>
      <c r="B106" t="s">
        <v>92</v>
      </c>
      <c r="C106" t="s">
        <v>195</v>
      </c>
      <c r="D106" t="s">
        <v>640</v>
      </c>
      <c r="E106" t="s">
        <v>640</v>
      </c>
      <c r="F106" t="s">
        <v>645</v>
      </c>
      <c r="G106" s="5">
        <v>1494960</v>
      </c>
      <c r="H106" s="7" t="s">
        <v>207</v>
      </c>
      <c r="I106" s="5" t="s">
        <v>92</v>
      </c>
      <c r="J106" s="5">
        <v>0</v>
      </c>
      <c r="K106" s="5" t="s">
        <v>97</v>
      </c>
      <c r="L106" s="5" t="s">
        <v>115</v>
      </c>
      <c r="M106" s="5" t="s">
        <v>94</v>
      </c>
      <c r="N106" s="5" t="s">
        <v>116</v>
      </c>
      <c r="O106" s="4"/>
      <c r="P106" s="8">
        <f t="shared" ref="P106:P110" si="47">SUM(Q106,R106,S106)</f>
        <v>1</v>
      </c>
      <c r="Q106" s="8">
        <f t="shared" ref="Q106:Q110" si="48">SUM(T106:V106)</f>
        <v>0</v>
      </c>
      <c r="R106" s="8">
        <f t="shared" ref="R106:R110" si="49">SUM(W106:Y106)</f>
        <v>0</v>
      </c>
      <c r="S106" s="8">
        <f>SUM(Z106:BZ106)</f>
        <v>1</v>
      </c>
      <c r="T106" s="8"/>
      <c r="U106" s="8"/>
      <c r="V106" s="8"/>
      <c r="W106" s="8"/>
      <c r="X106" s="8"/>
      <c r="Y106" s="8"/>
      <c r="Z106" s="8"/>
      <c r="AA106" s="8">
        <v>1</v>
      </c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 spans="1:78" ht="16.5" customHeight="1" x14ac:dyDescent="0.3">
      <c r="A107" t="s">
        <v>573</v>
      </c>
      <c r="B107" t="s">
        <v>92</v>
      </c>
      <c r="C107" t="s">
        <v>195</v>
      </c>
      <c r="D107" t="s">
        <v>640</v>
      </c>
      <c r="E107" t="s">
        <v>645</v>
      </c>
      <c r="F107" t="s">
        <v>646</v>
      </c>
      <c r="G107" s="5">
        <v>1494969</v>
      </c>
      <c r="H107" s="7" t="s">
        <v>208</v>
      </c>
      <c r="I107" s="5" t="s">
        <v>92</v>
      </c>
      <c r="J107" s="5">
        <v>0</v>
      </c>
      <c r="K107" s="5" t="s">
        <v>102</v>
      </c>
      <c r="L107" s="5" t="s">
        <v>109</v>
      </c>
      <c r="M107" s="5" t="s">
        <v>94</v>
      </c>
      <c r="N107" s="5" t="s">
        <v>119</v>
      </c>
      <c r="O107" s="4"/>
      <c r="P107" s="8">
        <f t="shared" si="47"/>
        <v>7</v>
      </c>
      <c r="Q107" s="8">
        <f t="shared" si="48"/>
        <v>0</v>
      </c>
      <c r="R107" s="8">
        <f t="shared" si="49"/>
        <v>0</v>
      </c>
      <c r="S107" s="8">
        <f>SUM(Z107:BZ107)</f>
        <v>7</v>
      </c>
      <c r="T107" s="8"/>
      <c r="U107" s="8"/>
      <c r="V107" s="8"/>
      <c r="W107" s="8"/>
      <c r="X107" s="8"/>
      <c r="Y107" s="8"/>
      <c r="Z107" s="8"/>
      <c r="AA107" s="8"/>
      <c r="AB107" s="8"/>
      <c r="AC107" s="8">
        <v>1</v>
      </c>
      <c r="AD107" s="8"/>
      <c r="AE107" s="8">
        <v>0</v>
      </c>
      <c r="AF107" s="8"/>
      <c r="AG107" s="8"/>
      <c r="AH107" s="8">
        <v>1</v>
      </c>
      <c r="AI107" s="8"/>
      <c r="AJ107" s="8"/>
      <c r="AK107" s="8"/>
      <c r="AL107" s="8">
        <v>1</v>
      </c>
      <c r="AM107" s="8"/>
      <c r="AN107" s="8">
        <v>1</v>
      </c>
      <c r="AO107" s="8"/>
      <c r="AP107" s="8"/>
      <c r="AQ107" s="8">
        <v>0</v>
      </c>
      <c r="AR107" s="8"/>
      <c r="AS107" s="8"/>
      <c r="AT107" s="8"/>
      <c r="AU107" s="8">
        <v>0</v>
      </c>
      <c r="AV107" s="8"/>
      <c r="AW107" s="8"/>
      <c r="AX107" s="8"/>
      <c r="AY107" s="8"/>
      <c r="AZ107" s="8">
        <v>1</v>
      </c>
      <c r="BA107" s="8"/>
      <c r="BB107" s="8"/>
      <c r="BC107" s="8"/>
      <c r="BD107" s="8"/>
      <c r="BE107" s="8"/>
      <c r="BF107" s="8"/>
      <c r="BG107" s="8"/>
      <c r="BH107" s="8"/>
      <c r="BI107" s="8"/>
      <c r="BJ107" s="8">
        <v>2</v>
      </c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</row>
    <row r="108" spans="1:78" ht="16.5" customHeight="1" x14ac:dyDescent="0.3">
      <c r="A108" t="s">
        <v>573</v>
      </c>
      <c r="B108" t="s">
        <v>92</v>
      </c>
      <c r="C108" t="s">
        <v>195</v>
      </c>
      <c r="D108" t="s">
        <v>640</v>
      </c>
      <c r="E108" t="s">
        <v>645</v>
      </c>
      <c r="F108" t="s">
        <v>647</v>
      </c>
      <c r="G108" s="5">
        <v>1494973</v>
      </c>
      <c r="H108" s="7" t="s">
        <v>209</v>
      </c>
      <c r="I108" s="5" t="s">
        <v>92</v>
      </c>
      <c r="J108" s="5">
        <v>0</v>
      </c>
      <c r="K108" s="5" t="s">
        <v>102</v>
      </c>
      <c r="L108" s="5" t="s">
        <v>109</v>
      </c>
      <c r="M108" s="5" t="s">
        <v>94</v>
      </c>
      <c r="N108" s="5" t="s">
        <v>119</v>
      </c>
      <c r="O108" s="4"/>
      <c r="P108" s="8">
        <f t="shared" si="47"/>
        <v>12</v>
      </c>
      <c r="Q108" s="8">
        <f t="shared" si="48"/>
        <v>0</v>
      </c>
      <c r="R108" s="8">
        <f t="shared" si="49"/>
        <v>0</v>
      </c>
      <c r="S108" s="8">
        <f>SUM(Z108:BZ108)</f>
        <v>12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>
        <v>1</v>
      </c>
      <c r="AF108" s="8"/>
      <c r="AG108" s="8"/>
      <c r="AH108" s="8"/>
      <c r="AI108" s="8"/>
      <c r="AJ108" s="8">
        <v>3</v>
      </c>
      <c r="AK108" s="8"/>
      <c r="AL108" s="8">
        <v>3</v>
      </c>
      <c r="AM108" s="8"/>
      <c r="AN108" s="8"/>
      <c r="AO108" s="8"/>
      <c r="AP108" s="8"/>
      <c r="AQ108" s="8"/>
      <c r="AR108" s="8">
        <v>0</v>
      </c>
      <c r="AS108" s="8"/>
      <c r="AT108" s="8"/>
      <c r="AU108" s="8">
        <v>0</v>
      </c>
      <c r="AV108" s="8"/>
      <c r="AW108" s="8"/>
      <c r="AX108" s="8"/>
      <c r="AY108" s="8"/>
      <c r="AZ108" s="8">
        <v>2</v>
      </c>
      <c r="BA108" s="8"/>
      <c r="BB108" s="8"/>
      <c r="BC108" s="8">
        <v>0</v>
      </c>
      <c r="BD108" s="8"/>
      <c r="BE108" s="8"/>
      <c r="BF108" s="8">
        <v>2</v>
      </c>
      <c r="BG108" s="8"/>
      <c r="BH108" s="8"/>
      <c r="BI108" s="8"/>
      <c r="BJ108" s="8">
        <v>1</v>
      </c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 spans="1:78" ht="16.5" customHeight="1" x14ac:dyDescent="0.3">
      <c r="A109" t="s">
        <v>573</v>
      </c>
      <c r="B109" t="s">
        <v>92</v>
      </c>
      <c r="C109" t="s">
        <v>195</v>
      </c>
      <c r="D109" t="s">
        <v>640</v>
      </c>
      <c r="E109" t="s">
        <v>645</v>
      </c>
      <c r="F109" t="s">
        <v>648</v>
      </c>
      <c r="G109" s="5">
        <v>1494976</v>
      </c>
      <c r="H109" s="7" t="s">
        <v>210</v>
      </c>
      <c r="I109" s="5" t="s">
        <v>92</v>
      </c>
      <c r="J109" s="5">
        <v>0</v>
      </c>
      <c r="K109" s="5" t="s">
        <v>102</v>
      </c>
      <c r="L109" s="5" t="s">
        <v>109</v>
      </c>
      <c r="M109" s="5" t="s">
        <v>94</v>
      </c>
      <c r="N109" s="5" t="s">
        <v>119</v>
      </c>
      <c r="O109" s="4"/>
      <c r="P109" s="8">
        <f t="shared" si="47"/>
        <v>8</v>
      </c>
      <c r="Q109" s="8">
        <f t="shared" si="48"/>
        <v>0</v>
      </c>
      <c r="R109" s="8">
        <f t="shared" si="49"/>
        <v>0</v>
      </c>
      <c r="S109" s="8">
        <f>SUM(Z109:BZ109)</f>
        <v>8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>
        <v>1</v>
      </c>
      <c r="AF109" s="8"/>
      <c r="AG109" s="8"/>
      <c r="AH109" s="8"/>
      <c r="AI109" s="8"/>
      <c r="AJ109" s="8"/>
      <c r="AK109" s="8"/>
      <c r="AL109" s="8">
        <v>1</v>
      </c>
      <c r="AM109" s="8"/>
      <c r="AN109" s="8"/>
      <c r="AO109" s="8"/>
      <c r="AP109" s="8"/>
      <c r="AQ109" s="8">
        <v>2</v>
      </c>
      <c r="AR109" s="8"/>
      <c r="AS109" s="8"/>
      <c r="AT109" s="8">
        <v>1</v>
      </c>
      <c r="AU109" s="8"/>
      <c r="AV109" s="8"/>
      <c r="AW109" s="8"/>
      <c r="AX109" s="8"/>
      <c r="AY109" s="8"/>
      <c r="AZ109" s="8">
        <v>1</v>
      </c>
      <c r="BA109" s="8"/>
      <c r="BB109" s="8"/>
      <c r="BC109" s="8"/>
      <c r="BD109" s="8"/>
      <c r="BE109" s="8">
        <v>2</v>
      </c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</row>
    <row r="110" spans="1:78" ht="16.5" customHeight="1" x14ac:dyDescent="0.3">
      <c r="A110" t="s">
        <v>573</v>
      </c>
      <c r="B110" t="s">
        <v>92</v>
      </c>
      <c r="C110" t="s">
        <v>195</v>
      </c>
      <c r="D110" t="s">
        <v>640</v>
      </c>
      <c r="E110" t="s">
        <v>645</v>
      </c>
      <c r="F110" t="s">
        <v>649</v>
      </c>
      <c r="G110" s="5">
        <v>1494979</v>
      </c>
      <c r="H110" s="7" t="s">
        <v>211</v>
      </c>
      <c r="I110" s="5" t="s">
        <v>92</v>
      </c>
      <c r="J110" s="5">
        <v>0</v>
      </c>
      <c r="K110" s="5" t="s">
        <v>102</v>
      </c>
      <c r="L110" s="5" t="s">
        <v>109</v>
      </c>
      <c r="M110" s="5" t="s">
        <v>112</v>
      </c>
      <c r="N110" s="5" t="s">
        <v>212</v>
      </c>
      <c r="O110" s="4"/>
      <c r="P110" s="8">
        <f t="shared" si="47"/>
        <v>6</v>
      </c>
      <c r="Q110" s="8">
        <f t="shared" si="48"/>
        <v>0</v>
      </c>
      <c r="R110" s="8">
        <f t="shared" si="49"/>
        <v>0</v>
      </c>
      <c r="S110" s="8">
        <f>SUM(Z110:BZ110)</f>
        <v>6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>
        <v>1</v>
      </c>
      <c r="AI110" s="8"/>
      <c r="AJ110" s="8"/>
      <c r="AK110" s="8"/>
      <c r="AL110" s="8">
        <v>3</v>
      </c>
      <c r="AM110" s="8"/>
      <c r="AN110" s="8"/>
      <c r="AO110" s="8"/>
      <c r="AP110" s="8"/>
      <c r="AQ110" s="8">
        <v>0</v>
      </c>
      <c r="AR110" s="8"/>
      <c r="AS110" s="8"/>
      <c r="AT110" s="8"/>
      <c r="AU110" s="8"/>
      <c r="AV110" s="8"/>
      <c r="AW110" s="8"/>
      <c r="AX110" s="8"/>
      <c r="AY110" s="8"/>
      <c r="AZ110" s="8">
        <v>1</v>
      </c>
      <c r="BA110" s="8"/>
      <c r="BB110" s="8"/>
      <c r="BC110" s="8"/>
      <c r="BD110" s="8"/>
      <c r="BE110" s="8"/>
      <c r="BF110" s="8"/>
      <c r="BG110" s="8"/>
      <c r="BH110" s="8"/>
      <c r="BI110" s="8"/>
      <c r="BJ110" s="8">
        <v>1</v>
      </c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 spans="1:78" ht="16.5" customHeight="1" x14ac:dyDescent="0.3">
      <c r="G111" s="10">
        <v>1494955</v>
      </c>
      <c r="H111" s="11" t="s">
        <v>213</v>
      </c>
      <c r="I111" s="10" t="s">
        <v>92</v>
      </c>
      <c r="J111" s="10">
        <v>0</v>
      </c>
      <c r="K111" s="10" t="s">
        <v>102</v>
      </c>
      <c r="L111" s="10" t="s">
        <v>115</v>
      </c>
      <c r="M111" s="10" t="s">
        <v>94</v>
      </c>
      <c r="N111" s="10" t="s">
        <v>116</v>
      </c>
      <c r="O111" s="9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</row>
    <row r="112" spans="1:78" ht="16.5" customHeight="1" x14ac:dyDescent="0.3">
      <c r="A112" t="s">
        <v>573</v>
      </c>
      <c r="B112" t="s">
        <v>92</v>
      </c>
      <c r="C112" t="s">
        <v>195</v>
      </c>
      <c r="D112" t="s">
        <v>650</v>
      </c>
      <c r="E112" t="s">
        <v>650</v>
      </c>
      <c r="F112" t="s">
        <v>650</v>
      </c>
      <c r="G112" s="5">
        <v>1494955</v>
      </c>
      <c r="H112" s="7" t="s">
        <v>214</v>
      </c>
      <c r="I112" s="5" t="s">
        <v>92</v>
      </c>
      <c r="J112" s="5">
        <v>0</v>
      </c>
      <c r="K112" s="5" t="s">
        <v>102</v>
      </c>
      <c r="L112" s="5" t="s">
        <v>115</v>
      </c>
      <c r="M112" s="5" t="s">
        <v>94</v>
      </c>
      <c r="N112" s="5" t="s">
        <v>116</v>
      </c>
      <c r="O112" s="4"/>
      <c r="P112" s="8">
        <f t="shared" ref="P112:P117" si="50">SUM(Q112,R112,S112)</f>
        <v>1</v>
      </c>
      <c r="Q112" s="8">
        <f t="shared" ref="Q112:Q117" si="51">SUM(T112:V112)</f>
        <v>0</v>
      </c>
      <c r="R112" s="8">
        <f t="shared" ref="R112:R117" si="52">SUM(W112:Y112)</f>
        <v>0</v>
      </c>
      <c r="S112" s="8">
        <f t="shared" ref="S112:S117" si="53">SUM(Z112:BZ112)</f>
        <v>1</v>
      </c>
      <c r="T112" s="8"/>
      <c r="U112" s="8"/>
      <c r="V112" s="8"/>
      <c r="W112" s="8"/>
      <c r="X112" s="8"/>
      <c r="Y112" s="8"/>
      <c r="Z112" s="8"/>
      <c r="AA112" s="8">
        <v>1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 spans="1:78" ht="16.5" customHeight="1" x14ac:dyDescent="0.3">
      <c r="A113" t="s">
        <v>573</v>
      </c>
      <c r="B113" t="s">
        <v>92</v>
      </c>
      <c r="C113" t="s">
        <v>195</v>
      </c>
      <c r="D113" t="s">
        <v>650</v>
      </c>
      <c r="E113" t="s">
        <v>650</v>
      </c>
      <c r="F113" t="s">
        <v>651</v>
      </c>
      <c r="G113" s="5">
        <v>1494958</v>
      </c>
      <c r="H113" s="7" t="s">
        <v>215</v>
      </c>
      <c r="I113" s="5" t="s">
        <v>92</v>
      </c>
      <c r="J113" s="5">
        <v>0</v>
      </c>
      <c r="K113" s="5" t="s">
        <v>102</v>
      </c>
      <c r="L113" s="5" t="s">
        <v>109</v>
      </c>
      <c r="M113" s="5" t="s">
        <v>94</v>
      </c>
      <c r="N113" s="5" t="s">
        <v>119</v>
      </c>
      <c r="O113" s="4"/>
      <c r="P113" s="8">
        <f t="shared" si="50"/>
        <v>10</v>
      </c>
      <c r="Q113" s="8">
        <f t="shared" si="51"/>
        <v>0</v>
      </c>
      <c r="R113" s="8">
        <f t="shared" si="52"/>
        <v>0</v>
      </c>
      <c r="S113" s="8">
        <f t="shared" si="53"/>
        <v>10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>
        <v>1</v>
      </c>
      <c r="AF113" s="8"/>
      <c r="AG113" s="8"/>
      <c r="AH113" s="8">
        <v>1</v>
      </c>
      <c r="AI113" s="8"/>
      <c r="AJ113" s="8"/>
      <c r="AK113" s="8"/>
      <c r="AL113" s="8">
        <v>4</v>
      </c>
      <c r="AM113" s="8"/>
      <c r="AN113" s="8">
        <v>0</v>
      </c>
      <c r="AO113" s="8"/>
      <c r="AP113" s="8"/>
      <c r="AQ113" s="8"/>
      <c r="AR113" s="8"/>
      <c r="AS113" s="8"/>
      <c r="AT113" s="8"/>
      <c r="AU113" s="8">
        <v>0</v>
      </c>
      <c r="AV113" s="8"/>
      <c r="AW113" s="8"/>
      <c r="AX113" s="8"/>
      <c r="AY113" s="8"/>
      <c r="AZ113" s="8">
        <v>2</v>
      </c>
      <c r="BA113" s="8"/>
      <c r="BB113" s="8"/>
      <c r="BC113" s="8"/>
      <c r="BD113" s="8"/>
      <c r="BE113" s="8"/>
      <c r="BF113" s="8">
        <v>1</v>
      </c>
      <c r="BG113" s="8"/>
      <c r="BH113" s="8"/>
      <c r="BI113" s="8"/>
      <c r="BJ113" s="8"/>
      <c r="BK113" s="8"/>
      <c r="BL113" s="8">
        <v>1</v>
      </c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</row>
    <row r="114" spans="1:78" ht="16.5" customHeight="1" x14ac:dyDescent="0.3">
      <c r="A114" t="s">
        <v>573</v>
      </c>
      <c r="B114" t="s">
        <v>92</v>
      </c>
      <c r="C114" t="s">
        <v>195</v>
      </c>
      <c r="D114" t="s">
        <v>650</v>
      </c>
      <c r="E114" t="s">
        <v>650</v>
      </c>
      <c r="F114" t="s">
        <v>652</v>
      </c>
      <c r="G114" s="5">
        <v>1494961</v>
      </c>
      <c r="H114" s="7" t="s">
        <v>216</v>
      </c>
      <c r="I114" s="5" t="s">
        <v>92</v>
      </c>
      <c r="J114" s="5">
        <v>0</v>
      </c>
      <c r="K114" s="5" t="s">
        <v>102</v>
      </c>
      <c r="L114" s="5" t="s">
        <v>109</v>
      </c>
      <c r="M114" s="5" t="s">
        <v>94</v>
      </c>
      <c r="N114" s="5" t="s">
        <v>119</v>
      </c>
      <c r="O114" s="4"/>
      <c r="P114" s="8">
        <f t="shared" si="50"/>
        <v>9</v>
      </c>
      <c r="Q114" s="8">
        <f t="shared" si="51"/>
        <v>0</v>
      </c>
      <c r="R114" s="8">
        <f t="shared" si="52"/>
        <v>0</v>
      </c>
      <c r="S114" s="8">
        <f t="shared" si="53"/>
        <v>9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>
        <v>1</v>
      </c>
      <c r="AF114" s="8"/>
      <c r="AG114" s="8"/>
      <c r="AH114" s="8"/>
      <c r="AI114" s="8"/>
      <c r="AJ114" s="8"/>
      <c r="AK114" s="8"/>
      <c r="AL114" s="8">
        <v>1</v>
      </c>
      <c r="AM114" s="8"/>
      <c r="AN114" s="8">
        <v>1</v>
      </c>
      <c r="AO114" s="8"/>
      <c r="AP114" s="8"/>
      <c r="AQ114" s="8">
        <v>1</v>
      </c>
      <c r="AR114" s="8">
        <v>0</v>
      </c>
      <c r="AS114" s="8"/>
      <c r="AT114" s="8"/>
      <c r="AU114" s="8">
        <v>2</v>
      </c>
      <c r="AV114" s="8"/>
      <c r="AW114" s="8"/>
      <c r="AX114" s="8"/>
      <c r="AY114" s="8"/>
      <c r="AZ114" s="8"/>
      <c r="BA114" s="8"/>
      <c r="BB114" s="8"/>
      <c r="BC114" s="8"/>
      <c r="BD114" s="8"/>
      <c r="BE114" s="8">
        <v>1</v>
      </c>
      <c r="BF114" s="8"/>
      <c r="BG114" s="8"/>
      <c r="BH114" s="8"/>
      <c r="BI114" s="8"/>
      <c r="BJ114" s="8">
        <v>2</v>
      </c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 spans="1:78" ht="16.5" customHeight="1" x14ac:dyDescent="0.3">
      <c r="A115" t="s">
        <v>573</v>
      </c>
      <c r="B115" t="s">
        <v>92</v>
      </c>
      <c r="C115" t="s">
        <v>195</v>
      </c>
      <c r="D115" t="s">
        <v>650</v>
      </c>
      <c r="E115" t="s">
        <v>650</v>
      </c>
      <c r="F115" t="s">
        <v>653</v>
      </c>
      <c r="G115" s="5">
        <v>1494963</v>
      </c>
      <c r="H115" s="7" t="s">
        <v>217</v>
      </c>
      <c r="I115" s="5" t="s">
        <v>92</v>
      </c>
      <c r="J115" s="5">
        <v>0</v>
      </c>
      <c r="K115" s="5" t="s">
        <v>102</v>
      </c>
      <c r="L115" s="5" t="s">
        <v>109</v>
      </c>
      <c r="M115" s="5" t="s">
        <v>94</v>
      </c>
      <c r="N115" s="5" t="s">
        <v>119</v>
      </c>
      <c r="O115" s="4"/>
      <c r="P115" s="8">
        <f t="shared" si="50"/>
        <v>6</v>
      </c>
      <c r="Q115" s="8">
        <f t="shared" si="51"/>
        <v>0</v>
      </c>
      <c r="R115" s="8">
        <f t="shared" si="52"/>
        <v>0</v>
      </c>
      <c r="S115" s="8">
        <f t="shared" si="53"/>
        <v>6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>
        <v>1</v>
      </c>
      <c r="AF115" s="8"/>
      <c r="AG115" s="8"/>
      <c r="AH115" s="8"/>
      <c r="AI115" s="8"/>
      <c r="AJ115" s="8"/>
      <c r="AK115" s="8"/>
      <c r="AL115" s="8">
        <v>1</v>
      </c>
      <c r="AM115" s="8"/>
      <c r="AN115" s="8">
        <v>1</v>
      </c>
      <c r="AO115" s="8"/>
      <c r="AP115" s="8"/>
      <c r="AQ115" s="8"/>
      <c r="AR115" s="8">
        <v>0</v>
      </c>
      <c r="AS115" s="8"/>
      <c r="AT115" s="8"/>
      <c r="AU115" s="8">
        <v>0</v>
      </c>
      <c r="AV115" s="8"/>
      <c r="AW115" s="8"/>
      <c r="AX115" s="8"/>
      <c r="AY115" s="8"/>
      <c r="AZ115" s="8">
        <v>1</v>
      </c>
      <c r="BA115" s="8"/>
      <c r="BB115" s="8"/>
      <c r="BC115" s="8"/>
      <c r="BD115" s="8"/>
      <c r="BE115" s="8"/>
      <c r="BF115" s="8"/>
      <c r="BG115" s="8"/>
      <c r="BH115" s="8"/>
      <c r="BI115" s="8"/>
      <c r="BJ115" s="8">
        <v>1</v>
      </c>
      <c r="BK115" s="8"/>
      <c r="BL115" s="8"/>
      <c r="BM115" s="8"/>
      <c r="BN115" s="8"/>
      <c r="BO115" s="8"/>
      <c r="BP115" s="8"/>
      <c r="BQ115" s="8"/>
      <c r="BR115" s="8"/>
      <c r="BS115" s="8"/>
      <c r="BT115" s="8">
        <v>1</v>
      </c>
      <c r="BU115" s="8"/>
      <c r="BV115" s="8"/>
      <c r="BW115" s="8"/>
      <c r="BX115" s="8"/>
      <c r="BY115" s="8"/>
      <c r="BZ115" s="8"/>
    </row>
    <row r="116" spans="1:78" ht="16.5" customHeight="1" x14ac:dyDescent="0.3">
      <c r="A116" t="s">
        <v>573</v>
      </c>
      <c r="B116" t="s">
        <v>92</v>
      </c>
      <c r="C116" t="s">
        <v>195</v>
      </c>
      <c r="D116" t="s">
        <v>650</v>
      </c>
      <c r="E116" t="s">
        <v>650</v>
      </c>
      <c r="F116" t="s">
        <v>654</v>
      </c>
      <c r="G116" s="5">
        <v>1494966</v>
      </c>
      <c r="H116" s="7" t="s">
        <v>218</v>
      </c>
      <c r="I116" s="5" t="s">
        <v>92</v>
      </c>
      <c r="J116" s="5">
        <v>0</v>
      </c>
      <c r="K116" s="5" t="s">
        <v>102</v>
      </c>
      <c r="L116" s="5" t="s">
        <v>109</v>
      </c>
      <c r="M116" s="5" t="s">
        <v>94</v>
      </c>
      <c r="N116" s="5" t="s">
        <v>119</v>
      </c>
      <c r="O116" s="4"/>
      <c r="P116" s="8">
        <f t="shared" si="50"/>
        <v>6</v>
      </c>
      <c r="Q116" s="8">
        <f t="shared" si="51"/>
        <v>0</v>
      </c>
      <c r="R116" s="8">
        <f t="shared" si="52"/>
        <v>0</v>
      </c>
      <c r="S116" s="8">
        <f t="shared" si="53"/>
        <v>6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>
        <v>1</v>
      </c>
      <c r="AF116" s="8"/>
      <c r="AG116" s="8"/>
      <c r="AH116" s="8"/>
      <c r="AI116" s="8"/>
      <c r="AJ116" s="8"/>
      <c r="AK116" s="8"/>
      <c r="AL116" s="8">
        <v>1</v>
      </c>
      <c r="AM116" s="8"/>
      <c r="AN116" s="8">
        <v>0</v>
      </c>
      <c r="AO116" s="8">
        <v>1</v>
      </c>
      <c r="AP116" s="8"/>
      <c r="AQ116" s="8">
        <v>1</v>
      </c>
      <c r="AR116" s="8"/>
      <c r="AS116" s="8"/>
      <c r="AT116" s="8"/>
      <c r="AU116" s="8"/>
      <c r="AV116" s="8"/>
      <c r="AW116" s="8"/>
      <c r="AX116" s="8"/>
      <c r="AY116" s="8"/>
      <c r="AZ116" s="8">
        <v>1</v>
      </c>
      <c r="BA116" s="8"/>
      <c r="BB116" s="8"/>
      <c r="BC116" s="8"/>
      <c r="BD116" s="8"/>
      <c r="BE116" s="8"/>
      <c r="BF116" s="8">
        <v>1</v>
      </c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 spans="1:78" ht="16.5" customHeight="1" x14ac:dyDescent="0.3">
      <c r="A117" t="s">
        <v>573</v>
      </c>
      <c r="B117" t="s">
        <v>92</v>
      </c>
      <c r="C117" t="s">
        <v>17</v>
      </c>
      <c r="D117" t="s">
        <v>655</v>
      </c>
      <c r="E117" t="s">
        <v>655</v>
      </c>
      <c r="F117" t="s">
        <v>219</v>
      </c>
      <c r="G117" s="5">
        <v>1492961</v>
      </c>
      <c r="H117" s="7" t="s">
        <v>219</v>
      </c>
      <c r="I117" s="5" t="s">
        <v>92</v>
      </c>
      <c r="J117" s="5">
        <v>0</v>
      </c>
      <c r="K117" s="5" t="s">
        <v>220</v>
      </c>
      <c r="L117" s="5" t="s">
        <v>220</v>
      </c>
      <c r="M117" s="5" t="s">
        <v>94</v>
      </c>
      <c r="N117" s="5" t="s">
        <v>221</v>
      </c>
      <c r="O117" s="4"/>
      <c r="P117" s="8">
        <f t="shared" si="50"/>
        <v>7</v>
      </c>
      <c r="Q117" s="8">
        <f t="shared" si="51"/>
        <v>0</v>
      </c>
      <c r="R117" s="8">
        <f t="shared" si="52"/>
        <v>0</v>
      </c>
      <c r="S117" s="8">
        <f t="shared" si="53"/>
        <v>7</v>
      </c>
      <c r="T117" s="8"/>
      <c r="U117" s="8"/>
      <c r="V117" s="8"/>
      <c r="W117" s="8"/>
      <c r="X117" s="8"/>
      <c r="Y117" s="8"/>
      <c r="Z117" s="8"/>
      <c r="AA117" s="8"/>
      <c r="AB117" s="8">
        <v>1</v>
      </c>
      <c r="AC117" s="8"/>
      <c r="AD117" s="8"/>
      <c r="AE117" s="8"/>
      <c r="AF117" s="8"/>
      <c r="AG117" s="8"/>
      <c r="AH117" s="8"/>
      <c r="AI117" s="8"/>
      <c r="AJ117" s="8">
        <v>4</v>
      </c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>
        <v>2</v>
      </c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</row>
  </sheetData>
  <autoFilter ref="A8:BZ8" xr:uid="{00000000-0009-0000-0000-000000000000}"/>
  <mergeCells count="24">
    <mergeCell ref="L6:L8"/>
    <mergeCell ref="Z6:BZ6"/>
    <mergeCell ref="T7:T8"/>
    <mergeCell ref="U7:U8"/>
    <mergeCell ref="V7:V8"/>
    <mergeCell ref="W7:W8"/>
    <mergeCell ref="X7:X8"/>
    <mergeCell ref="Y7:Y8"/>
    <mergeCell ref="G9:O9"/>
    <mergeCell ref="G10:O10"/>
    <mergeCell ref="S6:S8"/>
    <mergeCell ref="T6:V6"/>
    <mergeCell ref="W6:Y6"/>
    <mergeCell ref="M6:M8"/>
    <mergeCell ref="N6:N8"/>
    <mergeCell ref="O6:O8"/>
    <mergeCell ref="P6:P8"/>
    <mergeCell ref="Q6:Q8"/>
    <mergeCell ref="R6:R8"/>
    <mergeCell ref="G6:G8"/>
    <mergeCell ref="H6:H8"/>
    <mergeCell ref="I6:I8"/>
    <mergeCell ref="J6:J8"/>
    <mergeCell ref="K6:K8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683"/>
  <sheetViews>
    <sheetView showGridLines="0" zoomScale="85" zoomScaleNormal="85" workbookViewId="0">
      <selection activeCell="D19" sqref="D19"/>
    </sheetView>
  </sheetViews>
  <sheetFormatPr defaultRowHeight="16.5" x14ac:dyDescent="0.3"/>
  <cols>
    <col min="1" max="1" width="11.25" bestFit="1" customWidth="1"/>
    <col min="2" max="2" width="17.5" bestFit="1" customWidth="1"/>
    <col min="3" max="6" width="19.625" bestFit="1" customWidth="1"/>
    <col min="7" max="7" width="8" bestFit="1" customWidth="1"/>
    <col min="8" max="8" width="28.625" bestFit="1" customWidth="1"/>
    <col min="9" max="9" width="8.75" customWidth="1"/>
    <col min="10" max="10" width="11.375" customWidth="1"/>
    <col min="11" max="11" width="23.25" customWidth="1"/>
    <col min="12" max="13" width="8" customWidth="1"/>
    <col min="14" max="15" width="36" customWidth="1"/>
    <col min="16" max="18" width="8.75" customWidth="1"/>
    <col min="19" max="19" width="6.25" customWidth="1"/>
    <col min="20" max="76" width="8.75" customWidth="1"/>
  </cols>
  <sheetData>
    <row r="1" spans="1:78" ht="26.25" x14ac:dyDescent="0.3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s="1" t="s">
        <v>0</v>
      </c>
    </row>
    <row r="3" spans="1:78" ht="17.25" x14ac:dyDescent="0.3">
      <c r="G3" s="2" t="s">
        <v>223</v>
      </c>
    </row>
    <row r="5" spans="1:78" x14ac:dyDescent="0.3">
      <c r="G5" s="3" t="s">
        <v>2</v>
      </c>
    </row>
    <row r="6" spans="1:78" x14ac:dyDescent="0.3">
      <c r="G6" s="31" t="s">
        <v>3</v>
      </c>
      <c r="H6" s="31" t="s">
        <v>4</v>
      </c>
      <c r="I6" s="31" t="s">
        <v>5</v>
      </c>
      <c r="J6" s="31" t="s">
        <v>6</v>
      </c>
      <c r="K6" s="31" t="s">
        <v>7</v>
      </c>
      <c r="L6" s="31" t="s">
        <v>8</v>
      </c>
      <c r="M6" s="31" t="s">
        <v>9</v>
      </c>
      <c r="N6" s="31" t="s">
        <v>10</v>
      </c>
      <c r="O6" s="31" t="s">
        <v>11</v>
      </c>
      <c r="P6" s="31" t="s">
        <v>12</v>
      </c>
      <c r="Q6" s="31" t="s">
        <v>13</v>
      </c>
      <c r="R6" s="31" t="s">
        <v>15</v>
      </c>
      <c r="S6" s="5" t="s">
        <v>13</v>
      </c>
      <c r="T6" s="34" t="s">
        <v>15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6"/>
    </row>
    <row r="7" spans="1:78" ht="61.5" customHeight="1" x14ac:dyDescent="0.3"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1" t="s">
        <v>224</v>
      </c>
      <c r="T7" s="5" t="s">
        <v>22</v>
      </c>
      <c r="U7" s="5" t="s">
        <v>22</v>
      </c>
      <c r="V7" s="5" t="s">
        <v>22</v>
      </c>
      <c r="W7" s="5" t="s">
        <v>22</v>
      </c>
      <c r="X7" s="5" t="s">
        <v>22</v>
      </c>
      <c r="Y7" s="5" t="s">
        <v>22</v>
      </c>
      <c r="Z7" s="5" t="s">
        <v>22</v>
      </c>
      <c r="AA7" s="5" t="s">
        <v>23</v>
      </c>
      <c r="AB7" s="5" t="s">
        <v>23</v>
      </c>
      <c r="AC7" s="5" t="s">
        <v>24</v>
      </c>
      <c r="AD7" s="5" t="s">
        <v>24</v>
      </c>
      <c r="AE7" s="5" t="s">
        <v>25</v>
      </c>
      <c r="AF7" s="5" t="s">
        <v>25</v>
      </c>
      <c r="AG7" s="5" t="s">
        <v>25</v>
      </c>
      <c r="AH7" s="5" t="s">
        <v>25</v>
      </c>
      <c r="AI7" s="5" t="s">
        <v>26</v>
      </c>
      <c r="AJ7" s="5" t="s">
        <v>26</v>
      </c>
      <c r="AK7" s="5" t="s">
        <v>26</v>
      </c>
      <c r="AL7" s="5" t="s">
        <v>26</v>
      </c>
      <c r="AM7" s="5" t="s">
        <v>26</v>
      </c>
      <c r="AN7" s="5" t="s">
        <v>28</v>
      </c>
      <c r="AO7" s="5" t="s">
        <v>28</v>
      </c>
      <c r="AP7" s="5" t="s">
        <v>28</v>
      </c>
      <c r="AQ7" s="5" t="s">
        <v>28</v>
      </c>
      <c r="AR7" s="5" t="s">
        <v>28</v>
      </c>
      <c r="AS7" s="5" t="s">
        <v>28</v>
      </c>
      <c r="AT7" s="5" t="s">
        <v>28</v>
      </c>
      <c r="AU7" s="5" t="s">
        <v>28</v>
      </c>
      <c r="AV7" s="5" t="s">
        <v>28</v>
      </c>
      <c r="AW7" s="5" t="s">
        <v>29</v>
      </c>
      <c r="AX7" s="5" t="s">
        <v>29</v>
      </c>
      <c r="AY7" s="5" t="s">
        <v>29</v>
      </c>
      <c r="AZ7" s="5" t="s">
        <v>29</v>
      </c>
      <c r="BA7" s="5" t="s">
        <v>29</v>
      </c>
      <c r="BB7" s="5" t="s">
        <v>29</v>
      </c>
      <c r="BC7" s="5" t="s">
        <v>29</v>
      </c>
      <c r="BD7" s="5" t="s">
        <v>29</v>
      </c>
      <c r="BE7" s="5" t="s">
        <v>29</v>
      </c>
      <c r="BF7" s="5" t="s">
        <v>29</v>
      </c>
      <c r="BG7" s="5" t="s">
        <v>29</v>
      </c>
      <c r="BH7" s="5" t="s">
        <v>30</v>
      </c>
      <c r="BI7" s="5" t="s">
        <v>30</v>
      </c>
      <c r="BJ7" s="5" t="s">
        <v>30</v>
      </c>
      <c r="BK7" s="5" t="s">
        <v>30</v>
      </c>
      <c r="BL7" s="5" t="s">
        <v>30</v>
      </c>
      <c r="BM7" s="5" t="s">
        <v>30</v>
      </c>
      <c r="BN7" s="5" t="s">
        <v>30</v>
      </c>
      <c r="BO7" s="5" t="s">
        <v>31</v>
      </c>
      <c r="BP7" s="5" t="s">
        <v>31</v>
      </c>
      <c r="BQ7" s="5" t="s">
        <v>31</v>
      </c>
      <c r="BR7" s="5" t="s">
        <v>31</v>
      </c>
      <c r="BS7" s="5" t="s">
        <v>31</v>
      </c>
      <c r="BT7" s="5" t="s">
        <v>31</v>
      </c>
      <c r="BU7" s="5" t="s">
        <v>31</v>
      </c>
      <c r="BV7" s="5" t="s">
        <v>31</v>
      </c>
      <c r="BW7" s="5" t="s">
        <v>33</v>
      </c>
      <c r="BX7" s="5" t="s">
        <v>37</v>
      </c>
    </row>
    <row r="8" spans="1:78" s="23" customFormat="1" ht="121.5" x14ac:dyDescent="0.3">
      <c r="G8" s="37"/>
      <c r="H8" s="37"/>
      <c r="I8" s="33"/>
      <c r="J8" s="33"/>
      <c r="K8" s="33"/>
      <c r="L8" s="33"/>
      <c r="M8" s="33"/>
      <c r="N8" s="33"/>
      <c r="O8" s="33"/>
      <c r="P8" s="37"/>
      <c r="Q8" s="37"/>
      <c r="R8" s="37"/>
      <c r="S8" s="37"/>
      <c r="T8" s="22" t="s">
        <v>225</v>
      </c>
      <c r="U8" s="22" t="s">
        <v>226</v>
      </c>
      <c r="V8" s="22" t="s">
        <v>39</v>
      </c>
      <c r="W8" s="22" t="s">
        <v>227</v>
      </c>
      <c r="X8" s="22" t="s">
        <v>228</v>
      </c>
      <c r="Y8" s="22" t="s">
        <v>229</v>
      </c>
      <c r="Z8" s="22" t="s">
        <v>40</v>
      </c>
      <c r="AA8" s="22" t="s">
        <v>230</v>
      </c>
      <c r="AB8" s="22" t="s">
        <v>41</v>
      </c>
      <c r="AC8" s="22" t="s">
        <v>42</v>
      </c>
      <c r="AD8" s="22" t="s">
        <v>43</v>
      </c>
      <c r="AE8" s="22" t="s">
        <v>45</v>
      </c>
      <c r="AF8" s="22" t="s">
        <v>46</v>
      </c>
      <c r="AG8" s="22" t="s">
        <v>231</v>
      </c>
      <c r="AH8" s="22" t="s">
        <v>232</v>
      </c>
      <c r="AI8" s="22" t="s">
        <v>48</v>
      </c>
      <c r="AJ8" s="25" t="s">
        <v>233</v>
      </c>
      <c r="AK8" s="22" t="s">
        <v>50</v>
      </c>
      <c r="AL8" s="22" t="s">
        <v>234</v>
      </c>
      <c r="AM8" s="22" t="s">
        <v>52</v>
      </c>
      <c r="AN8" s="22" t="s">
        <v>56</v>
      </c>
      <c r="AO8" s="22" t="s">
        <v>57</v>
      </c>
      <c r="AP8" s="22" t="s">
        <v>235</v>
      </c>
      <c r="AQ8" s="22" t="s">
        <v>59</v>
      </c>
      <c r="AR8" s="22" t="s">
        <v>236</v>
      </c>
      <c r="AS8" s="22" t="s">
        <v>60</v>
      </c>
      <c r="AT8" s="22" t="s">
        <v>63</v>
      </c>
      <c r="AU8" s="22" t="s">
        <v>64</v>
      </c>
      <c r="AV8" s="22" t="s">
        <v>237</v>
      </c>
      <c r="AW8" s="22" t="s">
        <v>67</v>
      </c>
      <c r="AX8" s="22" t="s">
        <v>68</v>
      </c>
      <c r="AY8" s="22" t="s">
        <v>238</v>
      </c>
      <c r="AZ8" s="22" t="s">
        <v>70</v>
      </c>
      <c r="BA8" s="22" t="s">
        <v>239</v>
      </c>
      <c r="BB8" s="22" t="s">
        <v>71</v>
      </c>
      <c r="BC8" s="22" t="s">
        <v>73</v>
      </c>
      <c r="BD8" s="22" t="s">
        <v>74</v>
      </c>
      <c r="BE8" s="22" t="s">
        <v>240</v>
      </c>
      <c r="BF8" s="22" t="s">
        <v>222</v>
      </c>
      <c r="BG8" s="22" t="s">
        <v>75</v>
      </c>
      <c r="BH8" s="22" t="s">
        <v>76</v>
      </c>
      <c r="BI8" s="22" t="s">
        <v>241</v>
      </c>
      <c r="BJ8" s="22" t="s">
        <v>242</v>
      </c>
      <c r="BK8" s="22" t="s">
        <v>243</v>
      </c>
      <c r="BL8" s="22" t="s">
        <v>244</v>
      </c>
      <c r="BM8" s="22" t="s">
        <v>245</v>
      </c>
      <c r="BN8" s="22" t="s">
        <v>80</v>
      </c>
      <c r="BO8" s="22" t="s">
        <v>246</v>
      </c>
      <c r="BP8" s="22" t="s">
        <v>247</v>
      </c>
      <c r="BQ8" s="25" t="s">
        <v>248</v>
      </c>
      <c r="BR8" s="22" t="s">
        <v>249</v>
      </c>
      <c r="BS8" s="22" t="s">
        <v>250</v>
      </c>
      <c r="BT8" s="22" t="s">
        <v>81</v>
      </c>
      <c r="BU8" s="22" t="s">
        <v>251</v>
      </c>
      <c r="BV8" s="22" t="s">
        <v>82</v>
      </c>
      <c r="BW8" s="22" t="s">
        <v>84</v>
      </c>
      <c r="BX8" s="22" t="s">
        <v>89</v>
      </c>
      <c r="BZ8" s="26" t="s">
        <v>566</v>
      </c>
    </row>
    <row r="9" spans="1:78" ht="16.5" customHeight="1" x14ac:dyDescent="0.3">
      <c r="G9" s="28" t="s">
        <v>90</v>
      </c>
      <c r="H9" s="29"/>
      <c r="I9" s="29"/>
      <c r="J9" s="29"/>
      <c r="K9" s="29"/>
      <c r="L9" s="29"/>
      <c r="M9" s="29"/>
      <c r="N9" s="29"/>
      <c r="O9" s="30"/>
      <c r="P9" s="20"/>
      <c r="Q9" s="6"/>
      <c r="R9" s="20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20"/>
      <c r="AO9" s="6"/>
      <c r="AP9" s="6"/>
      <c r="AQ9" s="6"/>
      <c r="AR9" s="6"/>
      <c r="AS9" s="6"/>
      <c r="AT9" s="6"/>
      <c r="AU9" s="6"/>
      <c r="AV9" s="6"/>
      <c r="AW9" s="20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</row>
    <row r="10" spans="1:78" ht="16.5" customHeight="1" x14ac:dyDescent="0.3">
      <c r="G10" s="28" t="s">
        <v>91</v>
      </c>
      <c r="H10" s="29"/>
      <c r="I10" s="29"/>
      <c r="J10" s="29"/>
      <c r="K10" s="29"/>
      <c r="L10" s="29"/>
      <c r="M10" s="29"/>
      <c r="N10" s="29"/>
      <c r="O10" s="30"/>
      <c r="P10" s="20"/>
      <c r="Q10" s="6"/>
      <c r="R10" s="20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20"/>
      <c r="AO10" s="6"/>
      <c r="AP10" s="6"/>
      <c r="AQ10" s="6"/>
      <c r="AR10" s="6"/>
      <c r="AS10" s="6"/>
      <c r="AT10" s="6"/>
      <c r="AU10" s="6"/>
      <c r="AV10" s="6"/>
      <c r="AW10" s="20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</row>
    <row r="11" spans="1:78" ht="16.5" customHeight="1" x14ac:dyDescent="0.3">
      <c r="G11" s="10">
        <v>1493944</v>
      </c>
      <c r="H11" s="11" t="s">
        <v>252</v>
      </c>
      <c r="I11" s="10" t="s">
        <v>253</v>
      </c>
      <c r="J11" s="10">
        <v>1</v>
      </c>
      <c r="K11" s="10" t="s">
        <v>254</v>
      </c>
      <c r="L11" s="10" t="s">
        <v>255</v>
      </c>
      <c r="M11" s="10" t="s">
        <v>94</v>
      </c>
      <c r="N11" s="10" t="s">
        <v>116</v>
      </c>
      <c r="O11" s="9"/>
      <c r="P11" s="21"/>
      <c r="Q11" s="12"/>
      <c r="R11" s="21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</row>
    <row r="12" spans="1:78" ht="16.5" customHeight="1" x14ac:dyDescent="0.3">
      <c r="A12" t="s">
        <v>573</v>
      </c>
      <c r="B12" t="s">
        <v>656</v>
      </c>
      <c r="C12" t="s">
        <v>657</v>
      </c>
      <c r="D12" t="s">
        <v>657</v>
      </c>
      <c r="E12" t="s">
        <v>657</v>
      </c>
      <c r="F12" t="s">
        <v>657</v>
      </c>
      <c r="G12" s="5">
        <v>1493944</v>
      </c>
      <c r="H12" s="38" t="s">
        <v>256</v>
      </c>
      <c r="I12" s="5" t="s">
        <v>253</v>
      </c>
      <c r="J12" s="5">
        <v>1</v>
      </c>
      <c r="K12" s="5" t="s">
        <v>254</v>
      </c>
      <c r="L12" s="5" t="s">
        <v>255</v>
      </c>
      <c r="M12" s="5" t="s">
        <v>94</v>
      </c>
      <c r="N12" s="5" t="s">
        <v>116</v>
      </c>
      <c r="O12" s="4"/>
      <c r="P12" s="24">
        <f>SUM(Q12,R12)</f>
        <v>1</v>
      </c>
      <c r="Q12" s="8">
        <f>S12</f>
        <v>0</v>
      </c>
      <c r="R12" s="8">
        <f>SUM(T12:BX12)</f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</row>
    <row r="13" spans="1:78" ht="16.5" customHeight="1" x14ac:dyDescent="0.3">
      <c r="G13" s="14">
        <v>1493945</v>
      </c>
      <c r="H13" s="15" t="s">
        <v>257</v>
      </c>
      <c r="I13" s="14" t="s">
        <v>253</v>
      </c>
      <c r="J13" s="14">
        <v>1</v>
      </c>
      <c r="K13" s="14" t="s">
        <v>102</v>
      </c>
      <c r="L13" s="14" t="s">
        <v>109</v>
      </c>
      <c r="M13" s="14" t="s">
        <v>94</v>
      </c>
      <c r="N13" s="14" t="s">
        <v>258</v>
      </c>
      <c r="O13" s="13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</row>
    <row r="14" spans="1:78" ht="16.5" customHeight="1" x14ac:dyDescent="0.3">
      <c r="A14" t="s">
        <v>573</v>
      </c>
      <c r="B14" t="s">
        <v>656</v>
      </c>
      <c r="C14" t="s">
        <v>657</v>
      </c>
      <c r="D14" t="s">
        <v>657</v>
      </c>
      <c r="E14" t="s">
        <v>658</v>
      </c>
      <c r="F14" t="s">
        <v>658</v>
      </c>
      <c r="G14" s="5">
        <v>1493945</v>
      </c>
      <c r="H14" s="7" t="s">
        <v>259</v>
      </c>
      <c r="I14" s="5" t="s">
        <v>253</v>
      </c>
      <c r="J14" s="5">
        <v>1</v>
      </c>
      <c r="K14" s="5" t="s">
        <v>102</v>
      </c>
      <c r="L14" s="5" t="s">
        <v>109</v>
      </c>
      <c r="M14" s="5" t="s">
        <v>94</v>
      </c>
      <c r="N14" s="5" t="s">
        <v>258</v>
      </c>
      <c r="O14" s="4"/>
      <c r="P14" s="24">
        <f t="shared" ref="P14:P33" si="0">SUM(Q14,R14)</f>
        <v>1</v>
      </c>
      <c r="Q14" s="8">
        <f t="shared" ref="Q14:Q33" si="1">S14</f>
        <v>0</v>
      </c>
      <c r="R14" s="8">
        <f t="shared" ref="R14:R33" si="2">SUM(T14:BX14)</f>
        <v>1</v>
      </c>
      <c r="S14" s="8"/>
      <c r="T14" s="8"/>
      <c r="U14" s="8"/>
      <c r="V14" s="8"/>
      <c r="W14" s="8"/>
      <c r="X14" s="8"/>
      <c r="Y14" s="8"/>
      <c r="Z14" s="8"/>
      <c r="AA14" s="8"/>
      <c r="AB14" s="8">
        <v>1</v>
      </c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</row>
    <row r="15" spans="1:78" ht="16.5" customHeight="1" x14ac:dyDescent="0.3">
      <c r="A15" t="s">
        <v>573</v>
      </c>
      <c r="B15" t="s">
        <v>656</v>
      </c>
      <c r="C15" t="s">
        <v>657</v>
      </c>
      <c r="D15" t="s">
        <v>657</v>
      </c>
      <c r="E15" t="s">
        <v>658</v>
      </c>
      <c r="F15" t="s">
        <v>659</v>
      </c>
      <c r="G15" s="5">
        <v>1492880</v>
      </c>
      <c r="H15" s="7" t="s">
        <v>260</v>
      </c>
      <c r="I15" s="5" t="s">
        <v>253</v>
      </c>
      <c r="J15" s="5">
        <v>1</v>
      </c>
      <c r="K15" s="5" t="s">
        <v>102</v>
      </c>
      <c r="L15" s="5" t="s">
        <v>109</v>
      </c>
      <c r="M15" s="5" t="s">
        <v>94</v>
      </c>
      <c r="N15" s="5" t="s">
        <v>261</v>
      </c>
      <c r="O15" s="4"/>
      <c r="P15" s="24">
        <f t="shared" si="0"/>
        <v>21</v>
      </c>
      <c r="Q15" s="8">
        <f t="shared" si="1"/>
        <v>0</v>
      </c>
      <c r="R15" s="8">
        <f t="shared" si="2"/>
        <v>21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>
        <v>1</v>
      </c>
      <c r="AK15" s="8"/>
      <c r="AL15" s="8"/>
      <c r="AM15" s="8"/>
      <c r="AN15" s="8"/>
      <c r="AO15" s="8"/>
      <c r="AP15" s="8">
        <v>2</v>
      </c>
      <c r="AQ15" s="8"/>
      <c r="AR15" s="8"/>
      <c r="AS15" s="8"/>
      <c r="AT15" s="8"/>
      <c r="AU15" s="8"/>
      <c r="AV15" s="8"/>
      <c r="AW15" s="8">
        <v>1</v>
      </c>
      <c r="AX15" s="8"/>
      <c r="AY15" s="8">
        <v>3</v>
      </c>
      <c r="AZ15" s="8"/>
      <c r="BA15" s="8"/>
      <c r="BB15" s="8"/>
      <c r="BC15" s="8">
        <v>1</v>
      </c>
      <c r="BD15" s="8"/>
      <c r="BE15" s="8"/>
      <c r="BF15" s="8"/>
      <c r="BG15" s="8"/>
      <c r="BH15" s="8"/>
      <c r="BI15" s="8"/>
      <c r="BJ15" s="8">
        <v>5</v>
      </c>
      <c r="BK15" s="8"/>
      <c r="BL15" s="8">
        <v>1</v>
      </c>
      <c r="BM15" s="8"/>
      <c r="BN15" s="8"/>
      <c r="BO15" s="8">
        <v>1</v>
      </c>
      <c r="BP15" s="8"/>
      <c r="BQ15" s="8">
        <v>1</v>
      </c>
      <c r="BR15" s="8"/>
      <c r="BS15" s="8">
        <v>5</v>
      </c>
      <c r="BT15" s="8"/>
      <c r="BU15" s="8"/>
      <c r="BV15" s="8"/>
      <c r="BW15" s="8"/>
      <c r="BX15" s="8"/>
    </row>
    <row r="16" spans="1:78" ht="16.5" customHeight="1" x14ac:dyDescent="0.3">
      <c r="A16" t="s">
        <v>573</v>
      </c>
      <c r="B16" t="s">
        <v>656</v>
      </c>
      <c r="C16" t="s">
        <v>657</v>
      </c>
      <c r="D16" t="s">
        <v>657</v>
      </c>
      <c r="E16" t="s">
        <v>658</v>
      </c>
      <c r="F16" t="s">
        <v>660</v>
      </c>
      <c r="G16" s="5">
        <v>1494757</v>
      </c>
      <c r="H16" s="7" t="s">
        <v>262</v>
      </c>
      <c r="I16" s="5" t="s">
        <v>253</v>
      </c>
      <c r="J16" s="5">
        <v>1</v>
      </c>
      <c r="K16" s="5" t="s">
        <v>102</v>
      </c>
      <c r="L16" s="5" t="s">
        <v>109</v>
      </c>
      <c r="M16" s="5" t="s">
        <v>94</v>
      </c>
      <c r="N16" s="5" t="s">
        <v>261</v>
      </c>
      <c r="O16" s="4"/>
      <c r="P16" s="24">
        <f t="shared" si="0"/>
        <v>11</v>
      </c>
      <c r="Q16" s="8">
        <f t="shared" si="1"/>
        <v>0</v>
      </c>
      <c r="R16" s="8">
        <f t="shared" si="2"/>
        <v>11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>
        <v>1</v>
      </c>
      <c r="AK16" s="8"/>
      <c r="AL16" s="8"/>
      <c r="AM16" s="8"/>
      <c r="AN16" s="8"/>
      <c r="AO16" s="8"/>
      <c r="AP16" s="8">
        <v>1</v>
      </c>
      <c r="AQ16" s="8"/>
      <c r="AR16" s="8"/>
      <c r="AS16" s="8"/>
      <c r="AT16" s="8"/>
      <c r="AU16" s="8"/>
      <c r="AV16" s="8"/>
      <c r="AW16" s="8"/>
      <c r="AX16" s="8"/>
      <c r="AY16" s="8">
        <v>1</v>
      </c>
      <c r="AZ16" s="8"/>
      <c r="BA16" s="8"/>
      <c r="BB16" s="8"/>
      <c r="BC16" s="8"/>
      <c r="BD16" s="8"/>
      <c r="BE16" s="8"/>
      <c r="BF16" s="8"/>
      <c r="BG16" s="8"/>
      <c r="BH16" s="8">
        <v>1</v>
      </c>
      <c r="BI16" s="8"/>
      <c r="BJ16" s="8">
        <v>2</v>
      </c>
      <c r="BK16" s="8"/>
      <c r="BL16" s="8">
        <v>1</v>
      </c>
      <c r="BM16" s="8"/>
      <c r="BN16" s="8"/>
      <c r="BO16" s="8"/>
      <c r="BP16" s="8"/>
      <c r="BQ16" s="8">
        <v>3</v>
      </c>
      <c r="BR16" s="8"/>
      <c r="BS16" s="8">
        <v>1</v>
      </c>
      <c r="BT16" s="8"/>
      <c r="BU16" s="8"/>
      <c r="BV16" s="8"/>
      <c r="BW16" s="8"/>
      <c r="BX16" s="8"/>
    </row>
    <row r="17" spans="1:76" ht="16.5" customHeight="1" x14ac:dyDescent="0.3">
      <c r="A17" t="s">
        <v>573</v>
      </c>
      <c r="B17" t="s">
        <v>656</v>
      </c>
      <c r="C17" t="s">
        <v>657</v>
      </c>
      <c r="D17" t="s">
        <v>657</v>
      </c>
      <c r="E17" t="s">
        <v>658</v>
      </c>
      <c r="F17" t="s">
        <v>661</v>
      </c>
      <c r="G17" s="5">
        <v>1492883</v>
      </c>
      <c r="H17" s="7" t="s">
        <v>263</v>
      </c>
      <c r="I17" s="5" t="s">
        <v>253</v>
      </c>
      <c r="J17" s="5">
        <v>1</v>
      </c>
      <c r="K17" s="5" t="s">
        <v>102</v>
      </c>
      <c r="L17" s="5" t="s">
        <v>109</v>
      </c>
      <c r="M17" s="5" t="s">
        <v>94</v>
      </c>
      <c r="N17" s="5" t="s">
        <v>261</v>
      </c>
      <c r="O17" s="4"/>
      <c r="P17" s="24">
        <f t="shared" si="0"/>
        <v>14</v>
      </c>
      <c r="Q17" s="8">
        <f t="shared" si="1"/>
        <v>0</v>
      </c>
      <c r="R17" s="8">
        <f t="shared" si="2"/>
        <v>14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>
        <v>1</v>
      </c>
      <c r="AK17" s="8"/>
      <c r="AL17" s="8"/>
      <c r="AM17" s="8"/>
      <c r="AN17" s="8"/>
      <c r="AO17" s="8"/>
      <c r="AP17" s="8">
        <v>1</v>
      </c>
      <c r="AQ17" s="8"/>
      <c r="AR17" s="8"/>
      <c r="AS17" s="8"/>
      <c r="AT17" s="8"/>
      <c r="AU17" s="8"/>
      <c r="AV17" s="8"/>
      <c r="AW17" s="8">
        <v>1</v>
      </c>
      <c r="AX17" s="8"/>
      <c r="AY17" s="8">
        <v>4</v>
      </c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>
        <v>2</v>
      </c>
      <c r="BK17" s="8"/>
      <c r="BL17" s="8">
        <v>1</v>
      </c>
      <c r="BM17" s="8"/>
      <c r="BN17" s="8"/>
      <c r="BO17" s="8"/>
      <c r="BP17" s="8"/>
      <c r="BQ17" s="8">
        <v>3</v>
      </c>
      <c r="BR17" s="8"/>
      <c r="BS17" s="8">
        <v>1</v>
      </c>
      <c r="BT17" s="8"/>
      <c r="BU17" s="8"/>
      <c r="BV17" s="8"/>
      <c r="BW17" s="8"/>
      <c r="BX17" s="8"/>
    </row>
    <row r="18" spans="1:76" ht="16.5" customHeight="1" x14ac:dyDescent="0.3">
      <c r="A18" t="s">
        <v>573</v>
      </c>
      <c r="B18" t="s">
        <v>656</v>
      </c>
      <c r="C18" t="s">
        <v>657</v>
      </c>
      <c r="D18" t="s">
        <v>657</v>
      </c>
      <c r="E18" t="s">
        <v>658</v>
      </c>
      <c r="F18" t="s">
        <v>662</v>
      </c>
      <c r="G18" s="5">
        <v>1494288</v>
      </c>
      <c r="H18" s="7" t="s">
        <v>264</v>
      </c>
      <c r="I18" s="5" t="s">
        <v>253</v>
      </c>
      <c r="J18" s="5">
        <v>1</v>
      </c>
      <c r="K18" s="5" t="s">
        <v>102</v>
      </c>
      <c r="L18" s="5" t="s">
        <v>109</v>
      </c>
      <c r="M18" s="5" t="s">
        <v>94</v>
      </c>
      <c r="N18" s="5" t="s">
        <v>261</v>
      </c>
      <c r="O18" s="4"/>
      <c r="P18" s="24">
        <f t="shared" si="0"/>
        <v>15</v>
      </c>
      <c r="Q18" s="8">
        <f t="shared" si="1"/>
        <v>0</v>
      </c>
      <c r="R18" s="8">
        <f t="shared" si="2"/>
        <v>15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>
        <v>1</v>
      </c>
      <c r="AK18" s="8"/>
      <c r="AL18" s="8"/>
      <c r="AM18" s="8"/>
      <c r="AN18" s="8"/>
      <c r="AO18" s="8"/>
      <c r="AP18" s="8">
        <v>2</v>
      </c>
      <c r="AQ18" s="8"/>
      <c r="AR18" s="8"/>
      <c r="AS18" s="8"/>
      <c r="AT18" s="8"/>
      <c r="AU18" s="8"/>
      <c r="AV18" s="8"/>
      <c r="AW18" s="8">
        <v>1</v>
      </c>
      <c r="AX18" s="8"/>
      <c r="AY18" s="8">
        <v>4</v>
      </c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>
        <v>2</v>
      </c>
      <c r="BK18" s="8"/>
      <c r="BL18" s="8">
        <v>1</v>
      </c>
      <c r="BM18" s="8"/>
      <c r="BN18" s="8"/>
      <c r="BO18" s="8"/>
      <c r="BP18" s="8"/>
      <c r="BQ18" s="8">
        <v>3</v>
      </c>
      <c r="BR18" s="8"/>
      <c r="BS18" s="8">
        <v>1</v>
      </c>
      <c r="BT18" s="8"/>
      <c r="BU18" s="8"/>
      <c r="BV18" s="8"/>
      <c r="BW18" s="8"/>
      <c r="BX18" s="8"/>
    </row>
    <row r="19" spans="1:76" ht="16.5" customHeight="1" x14ac:dyDescent="0.3">
      <c r="A19" t="s">
        <v>573</v>
      </c>
      <c r="B19" t="s">
        <v>656</v>
      </c>
      <c r="C19" t="s">
        <v>657</v>
      </c>
      <c r="D19" t="s">
        <v>657</v>
      </c>
      <c r="E19" t="s">
        <v>658</v>
      </c>
      <c r="F19" t="s">
        <v>663</v>
      </c>
      <c r="G19" s="5">
        <v>1494289</v>
      </c>
      <c r="H19" s="7" t="s">
        <v>265</v>
      </c>
      <c r="I19" s="5" t="s">
        <v>253</v>
      </c>
      <c r="J19" s="5">
        <v>1</v>
      </c>
      <c r="K19" s="5" t="s">
        <v>102</v>
      </c>
      <c r="L19" s="5" t="s">
        <v>109</v>
      </c>
      <c r="M19" s="5" t="s">
        <v>94</v>
      </c>
      <c r="N19" s="5" t="s">
        <v>261</v>
      </c>
      <c r="O19" s="4"/>
      <c r="P19" s="24">
        <f t="shared" si="0"/>
        <v>9</v>
      </c>
      <c r="Q19" s="8">
        <f t="shared" si="1"/>
        <v>0</v>
      </c>
      <c r="R19" s="8">
        <f t="shared" si="2"/>
        <v>9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>
        <v>1</v>
      </c>
      <c r="AK19" s="8"/>
      <c r="AL19" s="8"/>
      <c r="AM19" s="8"/>
      <c r="AN19" s="8"/>
      <c r="AO19" s="8"/>
      <c r="AP19" s="8">
        <v>1</v>
      </c>
      <c r="AQ19" s="8"/>
      <c r="AR19" s="8"/>
      <c r="AS19" s="8"/>
      <c r="AT19" s="8"/>
      <c r="AU19" s="8"/>
      <c r="AV19" s="8"/>
      <c r="AW19" s="8">
        <v>1</v>
      </c>
      <c r="AX19" s="8"/>
      <c r="AY19" s="8">
        <v>1</v>
      </c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>
        <v>1</v>
      </c>
      <c r="BK19" s="8"/>
      <c r="BL19" s="8">
        <v>1</v>
      </c>
      <c r="BM19" s="8"/>
      <c r="BN19" s="8"/>
      <c r="BO19" s="8"/>
      <c r="BP19" s="8"/>
      <c r="BQ19" s="8">
        <v>2</v>
      </c>
      <c r="BR19" s="8"/>
      <c r="BS19" s="8">
        <v>1</v>
      </c>
      <c r="BT19" s="8"/>
      <c r="BU19" s="8"/>
      <c r="BV19" s="8"/>
      <c r="BW19" s="8"/>
      <c r="BX19" s="8"/>
    </row>
    <row r="20" spans="1:76" ht="16.5" customHeight="1" x14ac:dyDescent="0.3">
      <c r="A20" t="s">
        <v>573</v>
      </c>
      <c r="B20" t="s">
        <v>656</v>
      </c>
      <c r="C20" t="s">
        <v>657</v>
      </c>
      <c r="D20" t="s">
        <v>657</v>
      </c>
      <c r="E20" t="s">
        <v>664</v>
      </c>
      <c r="F20" t="s">
        <v>664</v>
      </c>
      <c r="G20" s="5">
        <v>1494666</v>
      </c>
      <c r="H20" s="7" t="s">
        <v>266</v>
      </c>
      <c r="I20" s="5" t="s">
        <v>253</v>
      </c>
      <c r="J20" s="5">
        <v>1</v>
      </c>
      <c r="K20" s="5" t="s">
        <v>102</v>
      </c>
      <c r="L20" s="5" t="s">
        <v>109</v>
      </c>
      <c r="M20" s="5" t="s">
        <v>94</v>
      </c>
      <c r="N20" s="5" t="s">
        <v>258</v>
      </c>
      <c r="O20" s="4"/>
      <c r="P20" s="24">
        <f t="shared" si="0"/>
        <v>29</v>
      </c>
      <c r="Q20" s="8">
        <f t="shared" si="1"/>
        <v>0</v>
      </c>
      <c r="R20" s="8">
        <f t="shared" si="2"/>
        <v>29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>
        <v>1</v>
      </c>
      <c r="AK20" s="8"/>
      <c r="AL20" s="8"/>
      <c r="AM20" s="8"/>
      <c r="AN20" s="8"/>
      <c r="AO20" s="8"/>
      <c r="AP20" s="8">
        <v>2</v>
      </c>
      <c r="AQ20" s="8"/>
      <c r="AR20" s="8"/>
      <c r="AS20" s="8"/>
      <c r="AT20" s="8"/>
      <c r="AU20" s="8"/>
      <c r="AV20" s="8"/>
      <c r="AW20" s="8"/>
      <c r="AX20" s="8"/>
      <c r="AY20" s="8">
        <v>6</v>
      </c>
      <c r="AZ20" s="8"/>
      <c r="BA20" s="8"/>
      <c r="BB20" s="8"/>
      <c r="BC20" s="8"/>
      <c r="BD20" s="8"/>
      <c r="BE20" s="8"/>
      <c r="BF20" s="8"/>
      <c r="BG20" s="8"/>
      <c r="BH20" s="8">
        <v>1</v>
      </c>
      <c r="BI20" s="8"/>
      <c r="BJ20" s="8">
        <v>8</v>
      </c>
      <c r="BK20" s="8"/>
      <c r="BL20" s="8">
        <v>1</v>
      </c>
      <c r="BM20" s="8"/>
      <c r="BN20" s="8"/>
      <c r="BO20" s="8"/>
      <c r="BP20" s="8"/>
      <c r="BQ20" s="8">
        <v>7</v>
      </c>
      <c r="BR20" s="8"/>
      <c r="BS20" s="8">
        <v>3</v>
      </c>
      <c r="BT20" s="8"/>
      <c r="BU20" s="8"/>
      <c r="BV20" s="8"/>
      <c r="BW20" s="8"/>
      <c r="BX20" s="8"/>
    </row>
    <row r="21" spans="1:76" ht="16.5" customHeight="1" x14ac:dyDescent="0.3">
      <c r="A21" t="s">
        <v>573</v>
      </c>
      <c r="B21" t="s">
        <v>656</v>
      </c>
      <c r="C21" t="s">
        <v>657</v>
      </c>
      <c r="D21" t="s">
        <v>657</v>
      </c>
      <c r="E21" t="s">
        <v>665</v>
      </c>
      <c r="F21" t="s">
        <v>665</v>
      </c>
      <c r="G21" s="5">
        <v>1494752</v>
      </c>
      <c r="H21" s="7" t="s">
        <v>267</v>
      </c>
      <c r="I21" s="5" t="s">
        <v>253</v>
      </c>
      <c r="J21" s="5">
        <v>1</v>
      </c>
      <c r="K21" s="5" t="s">
        <v>102</v>
      </c>
      <c r="L21" s="5" t="s">
        <v>109</v>
      </c>
      <c r="M21" s="5" t="s">
        <v>94</v>
      </c>
      <c r="N21" s="5" t="s">
        <v>268</v>
      </c>
      <c r="O21" s="4"/>
      <c r="P21" s="24">
        <f t="shared" si="0"/>
        <v>16</v>
      </c>
      <c r="Q21" s="8">
        <f t="shared" si="1"/>
        <v>0</v>
      </c>
      <c r="R21" s="8">
        <f t="shared" si="2"/>
        <v>16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>
        <v>1</v>
      </c>
      <c r="AF21" s="8"/>
      <c r="AG21" s="8"/>
      <c r="AH21" s="8"/>
      <c r="AI21" s="8"/>
      <c r="AJ21" s="8"/>
      <c r="AK21" s="8"/>
      <c r="AL21" s="8"/>
      <c r="AM21" s="8"/>
      <c r="AN21" s="8"/>
      <c r="AO21" s="8">
        <v>1</v>
      </c>
      <c r="AP21" s="8"/>
      <c r="AQ21" s="8"/>
      <c r="AR21" s="8"/>
      <c r="AS21" s="8"/>
      <c r="AT21" s="8"/>
      <c r="AU21" s="8"/>
      <c r="AV21" s="8"/>
      <c r="AW21" s="8"/>
      <c r="AX21" s="8">
        <v>1</v>
      </c>
      <c r="AY21" s="8">
        <v>1</v>
      </c>
      <c r="AZ21" s="8"/>
      <c r="BA21" s="8"/>
      <c r="BB21" s="8"/>
      <c r="BC21" s="8"/>
      <c r="BD21" s="8"/>
      <c r="BE21" s="8"/>
      <c r="BF21" s="8"/>
      <c r="BG21" s="8"/>
      <c r="BH21" s="8"/>
      <c r="BI21" s="8">
        <v>5</v>
      </c>
      <c r="BJ21" s="8"/>
      <c r="BK21" s="8"/>
      <c r="BL21" s="8"/>
      <c r="BM21" s="8"/>
      <c r="BN21" s="8"/>
      <c r="BO21" s="8"/>
      <c r="BP21" s="8">
        <v>1</v>
      </c>
      <c r="BQ21" s="8">
        <v>5</v>
      </c>
      <c r="BR21" s="8"/>
      <c r="BS21" s="8">
        <v>1</v>
      </c>
      <c r="BT21" s="8"/>
      <c r="BU21" s="8"/>
      <c r="BV21" s="8"/>
      <c r="BW21" s="8"/>
      <c r="BX21" s="8"/>
    </row>
    <row r="22" spans="1:76" ht="16.5" customHeight="1" x14ac:dyDescent="0.3">
      <c r="A22" t="s">
        <v>573</v>
      </c>
      <c r="B22" t="s">
        <v>656</v>
      </c>
      <c r="C22" t="s">
        <v>657</v>
      </c>
      <c r="D22" t="s">
        <v>657</v>
      </c>
      <c r="E22" t="s">
        <v>666</v>
      </c>
      <c r="F22" t="s">
        <v>666</v>
      </c>
      <c r="G22" s="5">
        <v>1494753</v>
      </c>
      <c r="H22" s="7" t="s">
        <v>269</v>
      </c>
      <c r="I22" s="5" t="s">
        <v>253</v>
      </c>
      <c r="J22" s="5">
        <v>1</v>
      </c>
      <c r="K22" s="5" t="s">
        <v>102</v>
      </c>
      <c r="L22" s="5" t="s">
        <v>109</v>
      </c>
      <c r="M22" s="5" t="s">
        <v>94</v>
      </c>
      <c r="N22" s="5" t="s">
        <v>268</v>
      </c>
      <c r="O22" s="4"/>
      <c r="P22" s="24">
        <f t="shared" si="0"/>
        <v>26</v>
      </c>
      <c r="Q22" s="8">
        <f t="shared" si="1"/>
        <v>0</v>
      </c>
      <c r="R22" s="8">
        <f t="shared" si="2"/>
        <v>26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>
        <v>2</v>
      </c>
      <c r="AJ22" s="8"/>
      <c r="AK22" s="8"/>
      <c r="AL22" s="8"/>
      <c r="AM22" s="8"/>
      <c r="AN22" s="8">
        <v>2</v>
      </c>
      <c r="AO22" s="8"/>
      <c r="AP22" s="8"/>
      <c r="AQ22" s="8"/>
      <c r="AR22" s="8"/>
      <c r="AS22" s="8"/>
      <c r="AT22" s="8"/>
      <c r="AU22" s="8"/>
      <c r="AV22" s="8"/>
      <c r="AW22" s="8">
        <v>1</v>
      </c>
      <c r="AX22" s="8"/>
      <c r="AY22" s="8">
        <v>1</v>
      </c>
      <c r="AZ22" s="8">
        <v>1</v>
      </c>
      <c r="BA22" s="8"/>
      <c r="BB22" s="8"/>
      <c r="BC22" s="8">
        <v>1</v>
      </c>
      <c r="BD22" s="8"/>
      <c r="BE22" s="8"/>
      <c r="BF22" s="8">
        <v>1</v>
      </c>
      <c r="BG22" s="8">
        <v>1</v>
      </c>
      <c r="BH22" s="8">
        <v>2</v>
      </c>
      <c r="BI22" s="8"/>
      <c r="BJ22" s="8">
        <v>1</v>
      </c>
      <c r="BK22" s="8"/>
      <c r="BL22" s="8"/>
      <c r="BM22" s="8">
        <v>1</v>
      </c>
      <c r="BN22" s="8"/>
      <c r="BO22" s="8"/>
      <c r="BP22" s="8"/>
      <c r="BQ22" s="8">
        <v>8</v>
      </c>
      <c r="BR22" s="8"/>
      <c r="BS22" s="8">
        <v>2</v>
      </c>
      <c r="BT22" s="8"/>
      <c r="BU22" s="8"/>
      <c r="BV22" s="8">
        <v>1</v>
      </c>
      <c r="BW22" s="8">
        <v>1</v>
      </c>
      <c r="BX22" s="8"/>
    </row>
    <row r="23" spans="1:76" ht="16.5" customHeight="1" x14ac:dyDescent="0.3">
      <c r="A23" t="s">
        <v>573</v>
      </c>
      <c r="B23" t="s">
        <v>656</v>
      </c>
      <c r="C23" t="s">
        <v>657</v>
      </c>
      <c r="D23" t="s">
        <v>657</v>
      </c>
      <c r="E23" t="s">
        <v>667</v>
      </c>
      <c r="F23" t="s">
        <v>667</v>
      </c>
      <c r="G23" s="5">
        <v>1494754</v>
      </c>
      <c r="H23" s="7" t="s">
        <v>270</v>
      </c>
      <c r="I23" s="5" t="s">
        <v>253</v>
      </c>
      <c r="J23" s="5">
        <v>1</v>
      </c>
      <c r="K23" s="5" t="s">
        <v>102</v>
      </c>
      <c r="L23" s="5" t="s">
        <v>109</v>
      </c>
      <c r="M23" s="5" t="s">
        <v>94</v>
      </c>
      <c r="N23" s="5" t="s">
        <v>268</v>
      </c>
      <c r="O23" s="4"/>
      <c r="P23" s="24">
        <f t="shared" si="0"/>
        <v>10</v>
      </c>
      <c r="Q23" s="8">
        <f t="shared" si="1"/>
        <v>0</v>
      </c>
      <c r="R23" s="8">
        <f t="shared" si="2"/>
        <v>10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>
        <v>1</v>
      </c>
      <c r="AK23" s="8"/>
      <c r="AL23" s="8"/>
      <c r="AM23" s="8"/>
      <c r="AN23" s="8">
        <v>1</v>
      </c>
      <c r="AO23" s="8"/>
      <c r="AP23" s="8">
        <v>1</v>
      </c>
      <c r="AQ23" s="8"/>
      <c r="AR23" s="8"/>
      <c r="AS23" s="8"/>
      <c r="AT23" s="8"/>
      <c r="AU23" s="8"/>
      <c r="AV23" s="8"/>
      <c r="AW23" s="8"/>
      <c r="AX23" s="8"/>
      <c r="AY23" s="8">
        <v>3</v>
      </c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>
        <v>2</v>
      </c>
      <c r="BK23" s="8"/>
      <c r="BL23" s="8">
        <v>1</v>
      </c>
      <c r="BM23" s="8"/>
      <c r="BN23" s="8"/>
      <c r="BO23" s="8"/>
      <c r="BP23" s="8"/>
      <c r="BQ23" s="8">
        <v>1</v>
      </c>
      <c r="BR23" s="8"/>
      <c r="BS23" s="8"/>
      <c r="BT23" s="8"/>
      <c r="BU23" s="8"/>
      <c r="BV23" s="8"/>
      <c r="BW23" s="8"/>
      <c r="BX23" s="8"/>
    </row>
    <row r="24" spans="1:76" ht="16.5" customHeight="1" x14ac:dyDescent="0.3">
      <c r="A24" t="s">
        <v>573</v>
      </c>
      <c r="B24" t="s">
        <v>656</v>
      </c>
      <c r="C24" t="s">
        <v>657</v>
      </c>
      <c r="D24" t="s">
        <v>657</v>
      </c>
      <c r="E24" t="s">
        <v>668</v>
      </c>
      <c r="F24" t="s">
        <v>668</v>
      </c>
      <c r="G24" s="5">
        <v>1494895</v>
      </c>
      <c r="H24" s="7" t="s">
        <v>271</v>
      </c>
      <c r="I24" s="5" t="s">
        <v>253</v>
      </c>
      <c r="J24" s="5">
        <v>1</v>
      </c>
      <c r="K24" s="5" t="s">
        <v>102</v>
      </c>
      <c r="L24" s="5" t="s">
        <v>109</v>
      </c>
      <c r="M24" s="5" t="s">
        <v>94</v>
      </c>
      <c r="N24" s="5" t="s">
        <v>268</v>
      </c>
      <c r="O24" s="4"/>
      <c r="P24" s="24">
        <f t="shared" si="0"/>
        <v>24</v>
      </c>
      <c r="Q24" s="8">
        <f t="shared" si="1"/>
        <v>0</v>
      </c>
      <c r="R24" s="8">
        <f t="shared" si="2"/>
        <v>24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>
        <v>1</v>
      </c>
      <c r="AF24" s="8"/>
      <c r="AG24" s="8"/>
      <c r="AH24" s="8"/>
      <c r="AI24" s="8"/>
      <c r="AJ24" s="8"/>
      <c r="AK24" s="8"/>
      <c r="AL24" s="8"/>
      <c r="AM24" s="8"/>
      <c r="AN24" s="8">
        <v>9</v>
      </c>
      <c r="AO24" s="8"/>
      <c r="AP24" s="8"/>
      <c r="AQ24" s="8"/>
      <c r="AR24" s="8"/>
      <c r="AS24" s="8"/>
      <c r="AT24" s="8"/>
      <c r="AU24" s="8"/>
      <c r="AV24" s="8"/>
      <c r="AW24" s="8">
        <v>11</v>
      </c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>
        <v>3</v>
      </c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</row>
    <row r="25" spans="1:76" ht="16.5" customHeight="1" x14ac:dyDescent="0.3">
      <c r="A25" t="s">
        <v>573</v>
      </c>
      <c r="B25" t="s">
        <v>656</v>
      </c>
      <c r="C25" t="s">
        <v>657</v>
      </c>
      <c r="D25" t="s">
        <v>657</v>
      </c>
      <c r="E25" t="s">
        <v>669</v>
      </c>
      <c r="F25" t="s">
        <v>669</v>
      </c>
      <c r="G25" s="5">
        <v>1492894</v>
      </c>
      <c r="H25" s="7" t="s">
        <v>272</v>
      </c>
      <c r="I25" s="5" t="s">
        <v>253</v>
      </c>
      <c r="J25" s="5">
        <v>1</v>
      </c>
      <c r="K25" s="5" t="s">
        <v>102</v>
      </c>
      <c r="L25" s="5" t="s">
        <v>109</v>
      </c>
      <c r="M25" s="5" t="s">
        <v>94</v>
      </c>
      <c r="N25" s="5" t="s">
        <v>268</v>
      </c>
      <c r="O25" s="4"/>
      <c r="P25" s="24">
        <f t="shared" si="0"/>
        <v>10</v>
      </c>
      <c r="Q25" s="8">
        <f t="shared" si="1"/>
        <v>0</v>
      </c>
      <c r="R25" s="8">
        <f t="shared" si="2"/>
        <v>10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>
        <v>1</v>
      </c>
      <c r="AJ25" s="8"/>
      <c r="AK25" s="8"/>
      <c r="AL25" s="8"/>
      <c r="AM25" s="8"/>
      <c r="AN25" s="8">
        <v>3</v>
      </c>
      <c r="AO25" s="8"/>
      <c r="AP25" s="8"/>
      <c r="AQ25" s="8"/>
      <c r="AR25" s="8"/>
      <c r="AS25" s="8"/>
      <c r="AT25" s="8"/>
      <c r="AU25" s="8"/>
      <c r="AV25" s="8"/>
      <c r="AW25" s="8">
        <v>3</v>
      </c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>
        <v>2</v>
      </c>
      <c r="BI25" s="8"/>
      <c r="BJ25" s="8"/>
      <c r="BK25" s="8"/>
      <c r="BL25" s="8"/>
      <c r="BM25" s="8"/>
      <c r="BN25" s="8"/>
      <c r="BO25" s="8">
        <v>1</v>
      </c>
      <c r="BP25" s="8"/>
      <c r="BQ25" s="8"/>
      <c r="BR25" s="8"/>
      <c r="BS25" s="8"/>
      <c r="BT25" s="8"/>
      <c r="BU25" s="8"/>
      <c r="BV25" s="8"/>
      <c r="BW25" s="8"/>
      <c r="BX25" s="8"/>
    </row>
    <row r="26" spans="1:76" ht="16.5" customHeight="1" x14ac:dyDescent="0.3">
      <c r="A26" t="s">
        <v>573</v>
      </c>
      <c r="B26" t="s">
        <v>656</v>
      </c>
      <c r="C26" t="s">
        <v>657</v>
      </c>
      <c r="D26" t="s">
        <v>657</v>
      </c>
      <c r="E26" t="s">
        <v>670</v>
      </c>
      <c r="F26" t="s">
        <v>670</v>
      </c>
      <c r="G26" s="5">
        <v>1494996</v>
      </c>
      <c r="H26" s="7" t="s">
        <v>273</v>
      </c>
      <c r="I26" s="5" t="s">
        <v>253</v>
      </c>
      <c r="J26" s="5">
        <v>1</v>
      </c>
      <c r="K26" s="5" t="s">
        <v>102</v>
      </c>
      <c r="L26" s="5" t="s">
        <v>109</v>
      </c>
      <c r="M26" s="5" t="s">
        <v>94</v>
      </c>
      <c r="N26" s="5" t="s">
        <v>268</v>
      </c>
      <c r="O26" s="4"/>
      <c r="P26" s="24">
        <f t="shared" si="0"/>
        <v>20</v>
      </c>
      <c r="Q26" s="8">
        <f t="shared" si="1"/>
        <v>0</v>
      </c>
      <c r="R26" s="8">
        <f t="shared" si="2"/>
        <v>20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>
        <v>1</v>
      </c>
      <c r="AJ26" s="8"/>
      <c r="AK26" s="8"/>
      <c r="AL26" s="8"/>
      <c r="AM26" s="8"/>
      <c r="AN26" s="8">
        <v>8</v>
      </c>
      <c r="AO26" s="8"/>
      <c r="AP26" s="8"/>
      <c r="AQ26" s="8"/>
      <c r="AR26" s="8"/>
      <c r="AS26" s="8"/>
      <c r="AT26" s="8"/>
      <c r="AU26" s="8"/>
      <c r="AV26" s="8"/>
      <c r="AW26" s="8">
        <v>9</v>
      </c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>
        <v>1</v>
      </c>
      <c r="BI26" s="8"/>
      <c r="BJ26" s="8"/>
      <c r="BK26" s="8"/>
      <c r="BL26" s="8"/>
      <c r="BM26" s="8"/>
      <c r="BN26" s="8"/>
      <c r="BO26" s="8">
        <v>1</v>
      </c>
      <c r="BP26" s="8"/>
      <c r="BQ26" s="8"/>
      <c r="BR26" s="8"/>
      <c r="BS26" s="8"/>
      <c r="BT26" s="8"/>
      <c r="BU26" s="8"/>
      <c r="BV26" s="8"/>
      <c r="BW26" s="8"/>
      <c r="BX26" s="8"/>
    </row>
    <row r="27" spans="1:76" ht="16.5" customHeight="1" x14ac:dyDescent="0.3">
      <c r="A27" t="s">
        <v>573</v>
      </c>
      <c r="B27" t="s">
        <v>656</v>
      </c>
      <c r="C27" t="s">
        <v>657</v>
      </c>
      <c r="D27" t="s">
        <v>657</v>
      </c>
      <c r="E27" t="s">
        <v>671</v>
      </c>
      <c r="F27" t="s">
        <v>671</v>
      </c>
      <c r="G27" s="5">
        <v>1495003</v>
      </c>
      <c r="H27" s="7" t="s">
        <v>274</v>
      </c>
      <c r="I27" s="5" t="s">
        <v>253</v>
      </c>
      <c r="J27" s="5">
        <v>1</v>
      </c>
      <c r="K27" s="5" t="s">
        <v>102</v>
      </c>
      <c r="L27" s="5" t="s">
        <v>109</v>
      </c>
      <c r="M27" s="5" t="s">
        <v>94</v>
      </c>
      <c r="N27" s="5" t="s">
        <v>268</v>
      </c>
      <c r="O27" s="4"/>
      <c r="P27" s="24">
        <f t="shared" si="0"/>
        <v>20</v>
      </c>
      <c r="Q27" s="8">
        <f t="shared" si="1"/>
        <v>0</v>
      </c>
      <c r="R27" s="8">
        <f t="shared" si="2"/>
        <v>20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>
        <v>1</v>
      </c>
      <c r="AJ27" s="8"/>
      <c r="AK27" s="8"/>
      <c r="AL27" s="8"/>
      <c r="AM27" s="8"/>
      <c r="AN27" s="8">
        <v>7</v>
      </c>
      <c r="AO27" s="8"/>
      <c r="AP27" s="8"/>
      <c r="AQ27" s="8"/>
      <c r="AR27" s="8"/>
      <c r="AS27" s="8"/>
      <c r="AT27" s="8"/>
      <c r="AU27" s="8"/>
      <c r="AV27" s="8"/>
      <c r="AW27" s="8">
        <v>9</v>
      </c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>
        <v>2</v>
      </c>
      <c r="BI27" s="8"/>
      <c r="BJ27" s="8"/>
      <c r="BK27" s="8"/>
      <c r="BL27" s="8"/>
      <c r="BM27" s="8"/>
      <c r="BN27" s="8"/>
      <c r="BO27" s="8">
        <v>1</v>
      </c>
      <c r="BP27" s="8"/>
      <c r="BQ27" s="8"/>
      <c r="BR27" s="8"/>
      <c r="BS27" s="8"/>
      <c r="BT27" s="8"/>
      <c r="BU27" s="8"/>
      <c r="BV27" s="8"/>
      <c r="BW27" s="8"/>
      <c r="BX27" s="8"/>
    </row>
    <row r="28" spans="1:76" ht="16.5" customHeight="1" x14ac:dyDescent="0.3">
      <c r="A28" t="s">
        <v>573</v>
      </c>
      <c r="B28" t="s">
        <v>656</v>
      </c>
      <c r="C28" t="s">
        <v>657</v>
      </c>
      <c r="D28" t="s">
        <v>657</v>
      </c>
      <c r="E28" t="s">
        <v>672</v>
      </c>
      <c r="F28" t="s">
        <v>672</v>
      </c>
      <c r="G28" s="5">
        <v>1495010</v>
      </c>
      <c r="H28" s="7" t="s">
        <v>275</v>
      </c>
      <c r="I28" s="5" t="s">
        <v>253</v>
      </c>
      <c r="J28" s="5">
        <v>1</v>
      </c>
      <c r="K28" s="5" t="s">
        <v>102</v>
      </c>
      <c r="L28" s="5" t="s">
        <v>109</v>
      </c>
      <c r="M28" s="5" t="s">
        <v>94</v>
      </c>
      <c r="N28" s="5" t="s">
        <v>268</v>
      </c>
      <c r="O28" s="4"/>
      <c r="P28" s="24">
        <f t="shared" si="0"/>
        <v>19</v>
      </c>
      <c r="Q28" s="8">
        <f t="shared" si="1"/>
        <v>0</v>
      </c>
      <c r="R28" s="8">
        <f t="shared" si="2"/>
        <v>19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>
        <v>1</v>
      </c>
      <c r="AJ28" s="8"/>
      <c r="AK28" s="8"/>
      <c r="AL28" s="8"/>
      <c r="AM28" s="8"/>
      <c r="AN28" s="8">
        <v>6</v>
      </c>
      <c r="AO28" s="8"/>
      <c r="AP28" s="8"/>
      <c r="AQ28" s="8"/>
      <c r="AR28" s="8"/>
      <c r="AS28" s="8"/>
      <c r="AT28" s="8"/>
      <c r="AU28" s="8"/>
      <c r="AV28" s="8"/>
      <c r="AW28" s="8">
        <v>9</v>
      </c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>
        <v>2</v>
      </c>
      <c r="BI28" s="8"/>
      <c r="BJ28" s="8"/>
      <c r="BK28" s="8"/>
      <c r="BL28" s="8"/>
      <c r="BM28" s="8"/>
      <c r="BN28" s="8"/>
      <c r="BO28" s="8">
        <v>1</v>
      </c>
      <c r="BP28" s="8"/>
      <c r="BQ28" s="8"/>
      <c r="BR28" s="8"/>
      <c r="BS28" s="8"/>
      <c r="BT28" s="8"/>
      <c r="BU28" s="8"/>
      <c r="BV28" s="8"/>
      <c r="BW28" s="8"/>
      <c r="BX28" s="8"/>
    </row>
    <row r="29" spans="1:76" ht="16.5" customHeight="1" x14ac:dyDescent="0.3">
      <c r="A29" t="s">
        <v>573</v>
      </c>
      <c r="B29" t="s">
        <v>656</v>
      </c>
      <c r="C29" t="s">
        <v>657</v>
      </c>
      <c r="D29" t="s">
        <v>657</v>
      </c>
      <c r="E29" t="s">
        <v>673</v>
      </c>
      <c r="F29" t="s">
        <v>673</v>
      </c>
      <c r="G29" s="5">
        <v>1495017</v>
      </c>
      <c r="H29" s="7" t="s">
        <v>276</v>
      </c>
      <c r="I29" s="5" t="s">
        <v>253</v>
      </c>
      <c r="J29" s="5">
        <v>1</v>
      </c>
      <c r="K29" s="5" t="s">
        <v>102</v>
      </c>
      <c r="L29" s="5" t="s">
        <v>109</v>
      </c>
      <c r="M29" s="5" t="s">
        <v>94</v>
      </c>
      <c r="N29" s="5" t="s">
        <v>268</v>
      </c>
      <c r="O29" s="4"/>
      <c r="P29" s="24">
        <f t="shared" si="0"/>
        <v>21</v>
      </c>
      <c r="Q29" s="8">
        <f t="shared" si="1"/>
        <v>0</v>
      </c>
      <c r="R29" s="8">
        <f t="shared" si="2"/>
        <v>21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>
        <v>1</v>
      </c>
      <c r="AF29" s="8"/>
      <c r="AG29" s="8"/>
      <c r="AH29" s="8"/>
      <c r="AI29" s="8"/>
      <c r="AJ29" s="8"/>
      <c r="AK29" s="8"/>
      <c r="AL29" s="8"/>
      <c r="AM29" s="8"/>
      <c r="AN29" s="8">
        <v>7</v>
      </c>
      <c r="AO29" s="8"/>
      <c r="AP29" s="8"/>
      <c r="AQ29" s="8">
        <v>2</v>
      </c>
      <c r="AR29" s="8"/>
      <c r="AS29" s="8"/>
      <c r="AT29" s="8"/>
      <c r="AU29" s="8"/>
      <c r="AV29" s="8"/>
      <c r="AW29" s="8">
        <v>5</v>
      </c>
      <c r="AX29" s="8"/>
      <c r="AY29" s="8"/>
      <c r="AZ29" s="8">
        <v>3</v>
      </c>
      <c r="BA29" s="8"/>
      <c r="BB29" s="8"/>
      <c r="BC29" s="8"/>
      <c r="BD29" s="8"/>
      <c r="BE29" s="8"/>
      <c r="BF29" s="8"/>
      <c r="BG29" s="8"/>
      <c r="BH29" s="8">
        <v>3</v>
      </c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</row>
    <row r="30" spans="1:76" ht="16.5" customHeight="1" x14ac:dyDescent="0.3">
      <c r="A30" t="s">
        <v>573</v>
      </c>
      <c r="B30" t="s">
        <v>656</v>
      </c>
      <c r="C30" t="s">
        <v>657</v>
      </c>
      <c r="D30" t="s">
        <v>657</v>
      </c>
      <c r="E30" t="s">
        <v>674</v>
      </c>
      <c r="F30" t="s">
        <v>674</v>
      </c>
      <c r="G30" s="5">
        <v>1495024</v>
      </c>
      <c r="H30" s="7" t="s">
        <v>277</v>
      </c>
      <c r="I30" s="5" t="s">
        <v>253</v>
      </c>
      <c r="J30" s="5">
        <v>1</v>
      </c>
      <c r="K30" s="5" t="s">
        <v>102</v>
      </c>
      <c r="L30" s="5" t="s">
        <v>109</v>
      </c>
      <c r="M30" s="5" t="s">
        <v>94</v>
      </c>
      <c r="N30" s="5" t="s">
        <v>268</v>
      </c>
      <c r="O30" s="4"/>
      <c r="P30" s="24">
        <f t="shared" si="0"/>
        <v>9</v>
      </c>
      <c r="Q30" s="8">
        <f t="shared" si="1"/>
        <v>0</v>
      </c>
      <c r="R30" s="8">
        <f t="shared" si="2"/>
        <v>9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>
        <v>1</v>
      </c>
      <c r="AH30" s="8"/>
      <c r="AI30" s="8"/>
      <c r="AJ30" s="8"/>
      <c r="AK30" s="8"/>
      <c r="AL30" s="8"/>
      <c r="AM30" s="8"/>
      <c r="AN30" s="8"/>
      <c r="AO30" s="8"/>
      <c r="AP30" s="8"/>
      <c r="AQ30" s="8">
        <v>2</v>
      </c>
      <c r="AR30" s="8"/>
      <c r="AS30" s="8"/>
      <c r="AT30" s="8"/>
      <c r="AU30" s="8"/>
      <c r="AV30" s="8">
        <v>1</v>
      </c>
      <c r="AW30" s="8"/>
      <c r="AX30" s="8"/>
      <c r="AY30" s="8"/>
      <c r="AZ30" s="8">
        <v>2</v>
      </c>
      <c r="BA30" s="8"/>
      <c r="BB30" s="8"/>
      <c r="BC30" s="8"/>
      <c r="BD30" s="8">
        <v>2</v>
      </c>
      <c r="BE30" s="8"/>
      <c r="BF30" s="8"/>
      <c r="BG30" s="8"/>
      <c r="BH30" s="8">
        <v>1</v>
      </c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</row>
    <row r="31" spans="1:76" ht="16.5" customHeight="1" x14ac:dyDescent="0.3">
      <c r="A31" t="s">
        <v>573</v>
      </c>
      <c r="B31" t="s">
        <v>656</v>
      </c>
      <c r="C31" t="s">
        <v>657</v>
      </c>
      <c r="D31" t="s">
        <v>657</v>
      </c>
      <c r="E31" t="s">
        <v>675</v>
      </c>
      <c r="F31" t="s">
        <v>675</v>
      </c>
      <c r="G31" s="5">
        <v>1495031</v>
      </c>
      <c r="H31" s="7" t="s">
        <v>278</v>
      </c>
      <c r="I31" s="5" t="s">
        <v>253</v>
      </c>
      <c r="J31" s="5">
        <v>1</v>
      </c>
      <c r="K31" s="5" t="s">
        <v>102</v>
      </c>
      <c r="L31" s="5" t="s">
        <v>109</v>
      </c>
      <c r="M31" s="5" t="s">
        <v>94</v>
      </c>
      <c r="N31" s="5" t="s">
        <v>268</v>
      </c>
      <c r="O31" s="4"/>
      <c r="P31" s="24">
        <f t="shared" si="0"/>
        <v>16</v>
      </c>
      <c r="Q31" s="8">
        <f t="shared" si="1"/>
        <v>0</v>
      </c>
      <c r="R31" s="8">
        <f t="shared" si="2"/>
        <v>16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>
        <v>1</v>
      </c>
      <c r="AH31" s="8"/>
      <c r="AI31" s="8"/>
      <c r="AJ31" s="8"/>
      <c r="AK31" s="8"/>
      <c r="AL31" s="8"/>
      <c r="AM31" s="8"/>
      <c r="AN31" s="8"/>
      <c r="AO31" s="8"/>
      <c r="AP31" s="8"/>
      <c r="AQ31" s="8">
        <v>5</v>
      </c>
      <c r="AR31" s="8"/>
      <c r="AS31" s="8"/>
      <c r="AT31" s="8"/>
      <c r="AU31" s="8">
        <v>1</v>
      </c>
      <c r="AV31" s="8"/>
      <c r="AW31" s="8">
        <v>1</v>
      </c>
      <c r="AX31" s="8"/>
      <c r="AY31" s="8"/>
      <c r="AZ31" s="8">
        <v>5</v>
      </c>
      <c r="BA31" s="8"/>
      <c r="BB31" s="8"/>
      <c r="BC31" s="8"/>
      <c r="BD31" s="8">
        <v>1</v>
      </c>
      <c r="BE31" s="8">
        <v>1</v>
      </c>
      <c r="BF31" s="8"/>
      <c r="BG31" s="8"/>
      <c r="BH31" s="8">
        <v>1</v>
      </c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</row>
    <row r="32" spans="1:76" ht="16.5" customHeight="1" x14ac:dyDescent="0.3">
      <c r="A32" t="s">
        <v>573</v>
      </c>
      <c r="B32" t="s">
        <v>656</v>
      </c>
      <c r="C32" t="s">
        <v>657</v>
      </c>
      <c r="D32" t="s">
        <v>657</v>
      </c>
      <c r="E32" t="s">
        <v>676</v>
      </c>
      <c r="F32" t="s">
        <v>676</v>
      </c>
      <c r="G32" s="5">
        <v>1495036</v>
      </c>
      <c r="H32" s="7" t="s">
        <v>279</v>
      </c>
      <c r="I32" s="5" t="s">
        <v>253</v>
      </c>
      <c r="J32" s="5">
        <v>1</v>
      </c>
      <c r="K32" s="5" t="s">
        <v>102</v>
      </c>
      <c r="L32" s="5" t="s">
        <v>109</v>
      </c>
      <c r="M32" s="5" t="s">
        <v>94</v>
      </c>
      <c r="N32" s="5" t="s">
        <v>268</v>
      </c>
      <c r="O32" s="4"/>
      <c r="P32" s="24">
        <f t="shared" si="0"/>
        <v>9</v>
      </c>
      <c r="Q32" s="8">
        <f t="shared" si="1"/>
        <v>0</v>
      </c>
      <c r="R32" s="8">
        <f t="shared" si="2"/>
        <v>9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>
        <v>1</v>
      </c>
      <c r="AK32" s="8"/>
      <c r="AL32" s="8"/>
      <c r="AM32" s="8"/>
      <c r="AN32" s="8"/>
      <c r="AO32" s="8"/>
      <c r="AP32" s="8"/>
      <c r="AQ32" s="8">
        <v>2</v>
      </c>
      <c r="AR32" s="8"/>
      <c r="AS32" s="8"/>
      <c r="AT32" s="8"/>
      <c r="AU32" s="8"/>
      <c r="AV32" s="8">
        <v>1</v>
      </c>
      <c r="AW32" s="8"/>
      <c r="AX32" s="8"/>
      <c r="AY32" s="8"/>
      <c r="AZ32" s="8">
        <v>4</v>
      </c>
      <c r="BA32" s="8"/>
      <c r="BB32" s="8"/>
      <c r="BC32" s="8"/>
      <c r="BD32" s="8"/>
      <c r="BE32" s="8"/>
      <c r="BF32" s="8"/>
      <c r="BG32" s="8"/>
      <c r="BH32" s="8">
        <v>1</v>
      </c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</row>
    <row r="33" spans="1:76" ht="16.5" customHeight="1" x14ac:dyDescent="0.3">
      <c r="A33" t="s">
        <v>573</v>
      </c>
      <c r="B33" t="s">
        <v>656</v>
      </c>
      <c r="C33" t="s">
        <v>657</v>
      </c>
      <c r="D33" t="s">
        <v>657</v>
      </c>
      <c r="E33" t="s">
        <v>653</v>
      </c>
      <c r="F33" t="s">
        <v>653</v>
      </c>
      <c r="G33" s="5">
        <v>1495041</v>
      </c>
      <c r="H33" s="7" t="s">
        <v>217</v>
      </c>
      <c r="I33" s="5" t="s">
        <v>253</v>
      </c>
      <c r="J33" s="5">
        <v>1</v>
      </c>
      <c r="K33" s="5" t="s">
        <v>102</v>
      </c>
      <c r="L33" s="5" t="s">
        <v>109</v>
      </c>
      <c r="M33" s="5" t="s">
        <v>94</v>
      </c>
      <c r="N33" s="5" t="s">
        <v>268</v>
      </c>
      <c r="O33" s="4"/>
      <c r="P33" s="24">
        <f t="shared" si="0"/>
        <v>13</v>
      </c>
      <c r="Q33" s="8">
        <f t="shared" si="1"/>
        <v>0</v>
      </c>
      <c r="R33" s="8">
        <f t="shared" si="2"/>
        <v>13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>
        <v>1</v>
      </c>
      <c r="AL33" s="8"/>
      <c r="AM33" s="8"/>
      <c r="AN33" s="8"/>
      <c r="AO33" s="8"/>
      <c r="AP33" s="8"/>
      <c r="AQ33" s="8">
        <v>3</v>
      </c>
      <c r="AR33" s="8"/>
      <c r="AS33" s="8"/>
      <c r="AT33" s="8"/>
      <c r="AU33" s="8"/>
      <c r="AV33" s="8"/>
      <c r="AW33" s="8"/>
      <c r="AX33" s="8"/>
      <c r="AY33" s="8"/>
      <c r="AZ33" s="8">
        <v>4</v>
      </c>
      <c r="BA33" s="8"/>
      <c r="BB33" s="8"/>
      <c r="BC33" s="8"/>
      <c r="BD33" s="8">
        <v>3</v>
      </c>
      <c r="BE33" s="8">
        <v>1</v>
      </c>
      <c r="BF33" s="8"/>
      <c r="BG33" s="8"/>
      <c r="BH33" s="8">
        <v>1</v>
      </c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</row>
    <row r="34" spans="1:76" ht="16.5" customHeight="1" x14ac:dyDescent="0.3">
      <c r="G34" s="14">
        <v>1493957</v>
      </c>
      <c r="H34" s="15" t="s">
        <v>280</v>
      </c>
      <c r="I34" s="14" t="s">
        <v>253</v>
      </c>
      <c r="J34" s="14">
        <v>2</v>
      </c>
      <c r="K34" s="14" t="s">
        <v>254</v>
      </c>
      <c r="L34" s="14" t="s">
        <v>255</v>
      </c>
      <c r="M34" s="14" t="s">
        <v>94</v>
      </c>
      <c r="N34" s="14" t="s">
        <v>110</v>
      </c>
      <c r="O34" s="13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</row>
    <row r="35" spans="1:76" ht="16.5" customHeight="1" x14ac:dyDescent="0.3">
      <c r="A35" t="s">
        <v>573</v>
      </c>
      <c r="B35" t="s">
        <v>656</v>
      </c>
      <c r="C35" t="s">
        <v>657</v>
      </c>
      <c r="D35" t="s">
        <v>677</v>
      </c>
      <c r="E35" t="s">
        <v>677</v>
      </c>
      <c r="F35" t="s">
        <v>677</v>
      </c>
      <c r="G35" s="5">
        <v>1493957</v>
      </c>
      <c r="H35" s="38" t="s">
        <v>281</v>
      </c>
      <c r="I35" s="5" t="s">
        <v>253</v>
      </c>
      <c r="J35" s="5">
        <v>2</v>
      </c>
      <c r="K35" s="5" t="s">
        <v>254</v>
      </c>
      <c r="L35" s="5" t="s">
        <v>255</v>
      </c>
      <c r="M35" s="5" t="s">
        <v>94</v>
      </c>
      <c r="N35" s="5" t="s">
        <v>110</v>
      </c>
      <c r="O35" s="4"/>
      <c r="P35" s="24">
        <f t="shared" ref="P35:P44" si="3">SUM(Q35,R35)</f>
        <v>1</v>
      </c>
      <c r="Q35" s="8">
        <f t="shared" ref="Q35:Q44" si="4">S35</f>
        <v>0</v>
      </c>
      <c r="R35" s="8">
        <f t="shared" ref="R35:R44" si="5">SUM(T35:BX35)</f>
        <v>1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>
        <v>1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</row>
    <row r="36" spans="1:76" ht="16.5" customHeight="1" x14ac:dyDescent="0.3">
      <c r="A36" t="s">
        <v>573</v>
      </c>
      <c r="B36" t="s">
        <v>656</v>
      </c>
      <c r="C36" t="s">
        <v>657</v>
      </c>
      <c r="D36" t="s">
        <v>677</v>
      </c>
      <c r="E36" t="s">
        <v>678</v>
      </c>
      <c r="F36" t="s">
        <v>678</v>
      </c>
      <c r="G36" s="5">
        <v>1493958</v>
      </c>
      <c r="H36" s="7" t="s">
        <v>282</v>
      </c>
      <c r="I36" s="5" t="s">
        <v>253</v>
      </c>
      <c r="J36" s="5">
        <v>2</v>
      </c>
      <c r="K36" s="5" t="s">
        <v>102</v>
      </c>
      <c r="L36" s="5" t="s">
        <v>109</v>
      </c>
      <c r="M36" s="5" t="s">
        <v>94</v>
      </c>
      <c r="N36" s="5" t="s">
        <v>283</v>
      </c>
      <c r="O36" s="4"/>
      <c r="P36" s="24">
        <f t="shared" si="3"/>
        <v>52</v>
      </c>
      <c r="Q36" s="8">
        <f t="shared" si="4"/>
        <v>0</v>
      </c>
      <c r="R36" s="8">
        <f t="shared" si="5"/>
        <v>52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>
        <v>1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>
        <v>4</v>
      </c>
      <c r="AQ36" s="8"/>
      <c r="AR36" s="8"/>
      <c r="AS36" s="8"/>
      <c r="AT36" s="8"/>
      <c r="AU36" s="8"/>
      <c r="AV36" s="8"/>
      <c r="AW36" s="8"/>
      <c r="AX36" s="8"/>
      <c r="AY36" s="8">
        <v>11</v>
      </c>
      <c r="AZ36" s="8"/>
      <c r="BA36" s="8"/>
      <c r="BB36" s="8"/>
      <c r="BC36" s="8"/>
      <c r="BD36" s="8"/>
      <c r="BE36" s="8"/>
      <c r="BF36" s="8"/>
      <c r="BG36" s="8"/>
      <c r="BH36" s="8">
        <v>3</v>
      </c>
      <c r="BI36" s="8"/>
      <c r="BJ36" s="8">
        <v>13</v>
      </c>
      <c r="BK36" s="8"/>
      <c r="BL36" s="8">
        <v>2</v>
      </c>
      <c r="BM36" s="8"/>
      <c r="BN36" s="8"/>
      <c r="BO36" s="8">
        <v>1</v>
      </c>
      <c r="BP36" s="8"/>
      <c r="BQ36" s="8">
        <v>9</v>
      </c>
      <c r="BR36" s="8"/>
      <c r="BS36" s="8">
        <v>8</v>
      </c>
      <c r="BT36" s="8"/>
      <c r="BU36" s="8"/>
      <c r="BV36" s="8"/>
      <c r="BW36" s="8"/>
      <c r="BX36" s="8"/>
    </row>
    <row r="37" spans="1:76" ht="16.5" customHeight="1" x14ac:dyDescent="0.3">
      <c r="A37" t="s">
        <v>573</v>
      </c>
      <c r="B37" t="s">
        <v>656</v>
      </c>
      <c r="C37" t="s">
        <v>657</v>
      </c>
      <c r="D37" t="s">
        <v>677</v>
      </c>
      <c r="E37" t="s">
        <v>665</v>
      </c>
      <c r="F37" t="s">
        <v>665</v>
      </c>
      <c r="G37" s="5">
        <v>1494759</v>
      </c>
      <c r="H37" s="7" t="s">
        <v>284</v>
      </c>
      <c r="I37" s="5" t="s">
        <v>253</v>
      </c>
      <c r="J37" s="5">
        <v>2</v>
      </c>
      <c r="K37" s="5" t="s">
        <v>102</v>
      </c>
      <c r="L37" s="5" t="s">
        <v>109</v>
      </c>
      <c r="M37" s="5" t="s">
        <v>94</v>
      </c>
      <c r="N37" s="5" t="s">
        <v>285</v>
      </c>
      <c r="O37" s="4"/>
      <c r="P37" s="24">
        <f t="shared" si="3"/>
        <v>6</v>
      </c>
      <c r="Q37" s="8">
        <f t="shared" si="4"/>
        <v>0</v>
      </c>
      <c r="R37" s="8">
        <f t="shared" si="5"/>
        <v>6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>
        <v>1</v>
      </c>
      <c r="AK37" s="8"/>
      <c r="AL37" s="8"/>
      <c r="AM37" s="8"/>
      <c r="AN37" s="8">
        <v>1</v>
      </c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>
        <v>1</v>
      </c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>
        <v>1</v>
      </c>
      <c r="BK37" s="8"/>
      <c r="BL37" s="8"/>
      <c r="BM37" s="8"/>
      <c r="BN37" s="8"/>
      <c r="BO37" s="8"/>
      <c r="BP37" s="8"/>
      <c r="BQ37" s="8">
        <v>1</v>
      </c>
      <c r="BR37" s="8"/>
      <c r="BS37" s="8">
        <v>1</v>
      </c>
      <c r="BT37" s="8"/>
      <c r="BU37" s="8"/>
      <c r="BV37" s="8"/>
      <c r="BW37" s="8"/>
      <c r="BX37" s="8"/>
    </row>
    <row r="38" spans="1:76" ht="16.5" customHeight="1" x14ac:dyDescent="0.3">
      <c r="A38" t="s">
        <v>573</v>
      </c>
      <c r="B38" t="s">
        <v>656</v>
      </c>
      <c r="C38" t="s">
        <v>657</v>
      </c>
      <c r="D38" t="s">
        <v>677</v>
      </c>
      <c r="E38" t="s">
        <v>666</v>
      </c>
      <c r="F38" t="s">
        <v>666</v>
      </c>
      <c r="G38" s="5">
        <v>1494760</v>
      </c>
      <c r="H38" s="7" t="s">
        <v>286</v>
      </c>
      <c r="I38" s="5" t="s">
        <v>253</v>
      </c>
      <c r="J38" s="5">
        <v>2</v>
      </c>
      <c r="K38" s="5" t="s">
        <v>102</v>
      </c>
      <c r="L38" s="5" t="s">
        <v>109</v>
      </c>
      <c r="M38" s="5" t="s">
        <v>94</v>
      </c>
      <c r="N38" s="5" t="s">
        <v>285</v>
      </c>
      <c r="O38" s="4"/>
      <c r="P38" s="24">
        <f t="shared" si="3"/>
        <v>15</v>
      </c>
      <c r="Q38" s="8">
        <f t="shared" si="4"/>
        <v>0</v>
      </c>
      <c r="R38" s="8">
        <f t="shared" si="5"/>
        <v>15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>
        <v>1</v>
      </c>
      <c r="AK38" s="8"/>
      <c r="AL38" s="8"/>
      <c r="AM38" s="8"/>
      <c r="AN38" s="8">
        <v>1</v>
      </c>
      <c r="AO38" s="8"/>
      <c r="AP38" s="8"/>
      <c r="AQ38" s="8"/>
      <c r="AR38" s="8"/>
      <c r="AS38" s="8"/>
      <c r="AT38" s="8"/>
      <c r="AU38" s="8"/>
      <c r="AV38" s="8"/>
      <c r="AW38" s="8">
        <v>2</v>
      </c>
      <c r="AX38" s="8"/>
      <c r="AY38" s="8">
        <v>1</v>
      </c>
      <c r="AZ38" s="8"/>
      <c r="BA38" s="8"/>
      <c r="BB38" s="8"/>
      <c r="BC38" s="8">
        <v>1</v>
      </c>
      <c r="BD38" s="8"/>
      <c r="BE38" s="8"/>
      <c r="BF38" s="8"/>
      <c r="BG38" s="8"/>
      <c r="BH38" s="8"/>
      <c r="BI38" s="8"/>
      <c r="BJ38" s="8">
        <v>2</v>
      </c>
      <c r="BK38" s="8"/>
      <c r="BL38" s="8">
        <v>1</v>
      </c>
      <c r="BM38" s="8"/>
      <c r="BN38" s="8"/>
      <c r="BO38" s="8">
        <v>1</v>
      </c>
      <c r="BP38" s="8"/>
      <c r="BQ38" s="8">
        <v>1</v>
      </c>
      <c r="BR38" s="8"/>
      <c r="BS38" s="8">
        <v>2</v>
      </c>
      <c r="BT38" s="8">
        <v>1</v>
      </c>
      <c r="BU38" s="8"/>
      <c r="BV38" s="8">
        <v>1</v>
      </c>
      <c r="BW38" s="8"/>
      <c r="BX38" s="8"/>
    </row>
    <row r="39" spans="1:76" ht="16.5" customHeight="1" x14ac:dyDescent="0.3">
      <c r="A39" t="s">
        <v>573</v>
      </c>
      <c r="B39" t="s">
        <v>656</v>
      </c>
      <c r="C39" t="s">
        <v>657</v>
      </c>
      <c r="D39" t="s">
        <v>677</v>
      </c>
      <c r="E39" t="s">
        <v>669</v>
      </c>
      <c r="F39" t="s">
        <v>669</v>
      </c>
      <c r="G39" s="5">
        <v>1492898</v>
      </c>
      <c r="H39" s="7" t="s">
        <v>287</v>
      </c>
      <c r="I39" s="5" t="s">
        <v>253</v>
      </c>
      <c r="J39" s="5">
        <v>2</v>
      </c>
      <c r="K39" s="5" t="s">
        <v>102</v>
      </c>
      <c r="L39" s="5" t="s">
        <v>109</v>
      </c>
      <c r="M39" s="5" t="s">
        <v>94</v>
      </c>
      <c r="N39" s="5" t="s">
        <v>285</v>
      </c>
      <c r="O39" s="4"/>
      <c r="P39" s="24">
        <f t="shared" si="3"/>
        <v>9</v>
      </c>
      <c r="Q39" s="8">
        <f t="shared" si="4"/>
        <v>0</v>
      </c>
      <c r="R39" s="8">
        <f t="shared" si="5"/>
        <v>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>
        <v>1</v>
      </c>
      <c r="AJ39" s="8"/>
      <c r="AK39" s="8"/>
      <c r="AL39" s="8"/>
      <c r="AM39" s="8"/>
      <c r="AN39" s="8">
        <v>3</v>
      </c>
      <c r="AO39" s="8"/>
      <c r="AP39" s="8"/>
      <c r="AQ39" s="8"/>
      <c r="AR39" s="8"/>
      <c r="AS39" s="8"/>
      <c r="AT39" s="8"/>
      <c r="AU39" s="8"/>
      <c r="AV39" s="8"/>
      <c r="AW39" s="8">
        <v>2</v>
      </c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>
        <v>2</v>
      </c>
      <c r="BI39" s="8"/>
      <c r="BJ39" s="8"/>
      <c r="BK39" s="8"/>
      <c r="BL39" s="8"/>
      <c r="BM39" s="8"/>
      <c r="BN39" s="8"/>
      <c r="BO39" s="8">
        <v>1</v>
      </c>
      <c r="BP39" s="8"/>
      <c r="BQ39" s="8"/>
      <c r="BR39" s="8"/>
      <c r="BS39" s="8"/>
      <c r="BT39" s="8"/>
      <c r="BU39" s="8"/>
      <c r="BV39" s="8"/>
      <c r="BW39" s="8"/>
      <c r="BX39" s="8"/>
    </row>
    <row r="40" spans="1:76" ht="16.5" customHeight="1" x14ac:dyDescent="0.3">
      <c r="A40" t="s">
        <v>573</v>
      </c>
      <c r="B40" t="s">
        <v>656</v>
      </c>
      <c r="C40" t="s">
        <v>657</v>
      </c>
      <c r="D40" t="s">
        <v>677</v>
      </c>
      <c r="E40" t="s">
        <v>670</v>
      </c>
      <c r="F40" t="s">
        <v>670</v>
      </c>
      <c r="G40" s="5">
        <v>1495131</v>
      </c>
      <c r="H40" s="7" t="s">
        <v>288</v>
      </c>
      <c r="I40" s="5" t="s">
        <v>253</v>
      </c>
      <c r="J40" s="5">
        <v>2</v>
      </c>
      <c r="K40" s="5" t="s">
        <v>102</v>
      </c>
      <c r="L40" s="5" t="s">
        <v>109</v>
      </c>
      <c r="M40" s="5" t="s">
        <v>94</v>
      </c>
      <c r="N40" s="5" t="s">
        <v>285</v>
      </c>
      <c r="O40" s="4"/>
      <c r="P40" s="24">
        <f t="shared" si="3"/>
        <v>32</v>
      </c>
      <c r="Q40" s="8">
        <f t="shared" si="4"/>
        <v>0</v>
      </c>
      <c r="R40" s="8">
        <f t="shared" si="5"/>
        <v>32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>
        <v>1</v>
      </c>
      <c r="AF40" s="8"/>
      <c r="AG40" s="8"/>
      <c r="AH40" s="8"/>
      <c r="AI40" s="8">
        <v>1</v>
      </c>
      <c r="AJ40" s="8"/>
      <c r="AK40" s="8"/>
      <c r="AL40" s="8"/>
      <c r="AM40" s="8"/>
      <c r="AN40" s="8">
        <v>11</v>
      </c>
      <c r="AO40" s="8"/>
      <c r="AP40" s="8"/>
      <c r="AQ40" s="8"/>
      <c r="AR40" s="8"/>
      <c r="AS40" s="8"/>
      <c r="AT40" s="8"/>
      <c r="AU40" s="8"/>
      <c r="AV40" s="8"/>
      <c r="AW40" s="8">
        <v>12</v>
      </c>
      <c r="AX40" s="8"/>
      <c r="AY40" s="8"/>
      <c r="AZ40" s="8">
        <v>1</v>
      </c>
      <c r="BA40" s="8"/>
      <c r="BB40" s="8"/>
      <c r="BC40" s="8"/>
      <c r="BD40" s="8"/>
      <c r="BE40" s="8"/>
      <c r="BF40" s="8"/>
      <c r="BG40" s="8"/>
      <c r="BH40" s="8">
        <v>5</v>
      </c>
      <c r="BI40" s="8"/>
      <c r="BJ40" s="8"/>
      <c r="BK40" s="8"/>
      <c r="BL40" s="8"/>
      <c r="BM40" s="8"/>
      <c r="BN40" s="8"/>
      <c r="BO40" s="8">
        <v>1</v>
      </c>
      <c r="BP40" s="8"/>
      <c r="BQ40" s="8"/>
      <c r="BR40" s="8"/>
      <c r="BS40" s="8"/>
      <c r="BT40" s="8"/>
      <c r="BU40" s="8"/>
      <c r="BV40" s="8"/>
      <c r="BW40" s="8"/>
      <c r="BX40" s="8"/>
    </row>
    <row r="41" spans="1:76" ht="16.5" customHeight="1" x14ac:dyDescent="0.3">
      <c r="A41" t="s">
        <v>573</v>
      </c>
      <c r="B41" t="s">
        <v>656</v>
      </c>
      <c r="C41" t="s">
        <v>657</v>
      </c>
      <c r="D41" t="s">
        <v>677</v>
      </c>
      <c r="E41" t="s">
        <v>671</v>
      </c>
      <c r="F41" t="s">
        <v>671</v>
      </c>
      <c r="G41" s="5">
        <v>1495167</v>
      </c>
      <c r="H41" s="7" t="s">
        <v>289</v>
      </c>
      <c r="I41" s="5" t="s">
        <v>253</v>
      </c>
      <c r="J41" s="5">
        <v>2</v>
      </c>
      <c r="K41" s="5" t="s">
        <v>102</v>
      </c>
      <c r="L41" s="5" t="s">
        <v>109</v>
      </c>
      <c r="M41" s="5" t="s">
        <v>94</v>
      </c>
      <c r="N41" s="5" t="s">
        <v>285</v>
      </c>
      <c r="O41" s="4"/>
      <c r="P41" s="24">
        <f t="shared" si="3"/>
        <v>19</v>
      </c>
      <c r="Q41" s="8">
        <f t="shared" si="4"/>
        <v>0</v>
      </c>
      <c r="R41" s="8">
        <f t="shared" si="5"/>
        <v>19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>
        <v>1</v>
      </c>
      <c r="AJ41" s="8"/>
      <c r="AK41" s="8"/>
      <c r="AL41" s="8"/>
      <c r="AM41" s="8"/>
      <c r="AN41" s="8">
        <v>7</v>
      </c>
      <c r="AO41" s="8"/>
      <c r="AP41" s="8"/>
      <c r="AQ41" s="8"/>
      <c r="AR41" s="8"/>
      <c r="AS41" s="8"/>
      <c r="AT41" s="8"/>
      <c r="AU41" s="8"/>
      <c r="AV41" s="8"/>
      <c r="AW41" s="8">
        <v>8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>
        <v>3</v>
      </c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</row>
    <row r="42" spans="1:76" ht="16.5" customHeight="1" x14ac:dyDescent="0.3">
      <c r="A42" t="s">
        <v>573</v>
      </c>
      <c r="B42" t="s">
        <v>656</v>
      </c>
      <c r="C42" t="s">
        <v>657</v>
      </c>
      <c r="D42" t="s">
        <v>677</v>
      </c>
      <c r="E42" t="s">
        <v>672</v>
      </c>
      <c r="F42" t="s">
        <v>672</v>
      </c>
      <c r="G42" s="5">
        <v>1495198</v>
      </c>
      <c r="H42" s="7" t="s">
        <v>290</v>
      </c>
      <c r="I42" s="5" t="s">
        <v>253</v>
      </c>
      <c r="J42" s="5">
        <v>2</v>
      </c>
      <c r="K42" s="5" t="s">
        <v>102</v>
      </c>
      <c r="L42" s="5" t="s">
        <v>109</v>
      </c>
      <c r="M42" s="5" t="s">
        <v>94</v>
      </c>
      <c r="N42" s="5" t="s">
        <v>285</v>
      </c>
      <c r="O42" s="4"/>
      <c r="P42" s="24">
        <f t="shared" si="3"/>
        <v>18</v>
      </c>
      <c r="Q42" s="8">
        <f t="shared" si="4"/>
        <v>0</v>
      </c>
      <c r="R42" s="8">
        <f t="shared" si="5"/>
        <v>18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>
        <v>7</v>
      </c>
      <c r="AO42" s="8"/>
      <c r="AP42" s="8"/>
      <c r="AQ42" s="8"/>
      <c r="AR42" s="8"/>
      <c r="AS42" s="8"/>
      <c r="AT42" s="8"/>
      <c r="AU42" s="8"/>
      <c r="AV42" s="8"/>
      <c r="AW42" s="8">
        <v>8</v>
      </c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>
        <v>2</v>
      </c>
      <c r="BI42" s="8"/>
      <c r="BJ42" s="8"/>
      <c r="BK42" s="8"/>
      <c r="BL42" s="8"/>
      <c r="BM42" s="8"/>
      <c r="BN42" s="8"/>
      <c r="BO42" s="8">
        <v>1</v>
      </c>
      <c r="BP42" s="8"/>
      <c r="BQ42" s="8"/>
      <c r="BR42" s="8"/>
      <c r="BS42" s="8"/>
      <c r="BT42" s="8"/>
      <c r="BU42" s="8"/>
      <c r="BV42" s="8"/>
      <c r="BW42" s="8"/>
      <c r="BX42" s="8"/>
    </row>
    <row r="43" spans="1:76" ht="16.5" customHeight="1" x14ac:dyDescent="0.3">
      <c r="A43" t="s">
        <v>573</v>
      </c>
      <c r="B43" t="s">
        <v>656</v>
      </c>
      <c r="C43" t="s">
        <v>657</v>
      </c>
      <c r="D43" t="s">
        <v>677</v>
      </c>
      <c r="E43" t="s">
        <v>679</v>
      </c>
      <c r="F43" t="s">
        <v>679</v>
      </c>
      <c r="G43" s="5">
        <v>1495225</v>
      </c>
      <c r="H43" s="7" t="s">
        <v>291</v>
      </c>
      <c r="I43" s="5" t="s">
        <v>253</v>
      </c>
      <c r="J43" s="5">
        <v>2</v>
      </c>
      <c r="K43" s="5" t="s">
        <v>102</v>
      </c>
      <c r="L43" s="5" t="s">
        <v>109</v>
      </c>
      <c r="M43" s="5" t="s">
        <v>94</v>
      </c>
      <c r="N43" s="5" t="s">
        <v>285</v>
      </c>
      <c r="O43" s="4"/>
      <c r="P43" s="24">
        <f t="shared" si="3"/>
        <v>11</v>
      </c>
      <c r="Q43" s="8">
        <f t="shared" si="4"/>
        <v>0</v>
      </c>
      <c r="R43" s="8">
        <f t="shared" si="5"/>
        <v>11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>
        <v>1</v>
      </c>
      <c r="AJ43" s="8"/>
      <c r="AK43" s="8"/>
      <c r="AL43" s="8"/>
      <c r="AM43" s="8"/>
      <c r="AN43" s="8">
        <v>4</v>
      </c>
      <c r="AO43" s="8"/>
      <c r="AP43" s="8"/>
      <c r="AQ43" s="8"/>
      <c r="AR43" s="8"/>
      <c r="AS43" s="8"/>
      <c r="AT43" s="8"/>
      <c r="AU43" s="8"/>
      <c r="AV43" s="8"/>
      <c r="AW43" s="8">
        <v>5</v>
      </c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>
        <v>1</v>
      </c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</row>
    <row r="44" spans="1:76" ht="16.5" customHeight="1" x14ac:dyDescent="0.3">
      <c r="A44" t="s">
        <v>573</v>
      </c>
      <c r="B44" t="s">
        <v>656</v>
      </c>
      <c r="C44" t="s">
        <v>657</v>
      </c>
      <c r="D44" t="s">
        <v>677</v>
      </c>
      <c r="E44" t="s">
        <v>676</v>
      </c>
      <c r="F44" t="s">
        <v>676</v>
      </c>
      <c r="G44" s="5">
        <v>1495247</v>
      </c>
      <c r="H44" s="7" t="s">
        <v>292</v>
      </c>
      <c r="I44" s="5" t="s">
        <v>253</v>
      </c>
      <c r="J44" s="5">
        <v>2</v>
      </c>
      <c r="K44" s="5" t="s">
        <v>102</v>
      </c>
      <c r="L44" s="5" t="s">
        <v>109</v>
      </c>
      <c r="M44" s="5" t="s">
        <v>94</v>
      </c>
      <c r="N44" s="5" t="s">
        <v>285</v>
      </c>
      <c r="O44" s="4"/>
      <c r="P44" s="24">
        <f t="shared" si="3"/>
        <v>12</v>
      </c>
      <c r="Q44" s="8">
        <f t="shared" si="4"/>
        <v>0</v>
      </c>
      <c r="R44" s="8">
        <f t="shared" si="5"/>
        <v>12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>
        <v>1</v>
      </c>
      <c r="AK44" s="8"/>
      <c r="AL44" s="8"/>
      <c r="AM44" s="8"/>
      <c r="AN44" s="8"/>
      <c r="AO44" s="8"/>
      <c r="AP44" s="8"/>
      <c r="AQ44" s="8">
        <v>3</v>
      </c>
      <c r="AR44" s="8"/>
      <c r="AS44" s="8"/>
      <c r="AT44" s="8"/>
      <c r="AU44" s="8">
        <v>2</v>
      </c>
      <c r="AV44" s="8"/>
      <c r="AW44" s="8"/>
      <c r="AX44" s="8"/>
      <c r="AY44" s="8"/>
      <c r="AZ44" s="8">
        <v>2</v>
      </c>
      <c r="BA44" s="8"/>
      <c r="BB44" s="8"/>
      <c r="BC44" s="8"/>
      <c r="BD44" s="8">
        <v>2</v>
      </c>
      <c r="BE44" s="8">
        <v>1</v>
      </c>
      <c r="BF44" s="8"/>
      <c r="BG44" s="8"/>
      <c r="BH44" s="8">
        <v>1</v>
      </c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</row>
    <row r="45" spans="1:76" ht="16.5" customHeight="1" x14ac:dyDescent="0.3">
      <c r="G45" s="14">
        <v>1493970</v>
      </c>
      <c r="H45" s="15" t="s">
        <v>293</v>
      </c>
      <c r="I45" s="14" t="s">
        <v>253</v>
      </c>
      <c r="J45" s="14">
        <v>2</v>
      </c>
      <c r="K45" s="14" t="s">
        <v>254</v>
      </c>
      <c r="L45" s="14" t="s">
        <v>255</v>
      </c>
      <c r="M45" s="14" t="s">
        <v>94</v>
      </c>
      <c r="N45" s="14" t="s">
        <v>110</v>
      </c>
      <c r="O45" s="1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</row>
    <row r="46" spans="1:76" ht="16.5" customHeight="1" x14ac:dyDescent="0.3">
      <c r="A46" t="s">
        <v>573</v>
      </c>
      <c r="B46" t="s">
        <v>656</v>
      </c>
      <c r="C46" t="s">
        <v>657</v>
      </c>
      <c r="D46" t="s">
        <v>680</v>
      </c>
      <c r="E46" t="s">
        <v>680</v>
      </c>
      <c r="F46" t="s">
        <v>680</v>
      </c>
      <c r="G46" s="5">
        <v>1493970</v>
      </c>
      <c r="H46" s="38" t="s">
        <v>294</v>
      </c>
      <c r="I46" s="5" t="s">
        <v>253</v>
      </c>
      <c r="J46" s="5">
        <v>2</v>
      </c>
      <c r="K46" s="5" t="s">
        <v>254</v>
      </c>
      <c r="L46" s="5" t="s">
        <v>255</v>
      </c>
      <c r="M46" s="5" t="s">
        <v>94</v>
      </c>
      <c r="N46" s="5" t="s">
        <v>110</v>
      </c>
      <c r="O46" s="4"/>
      <c r="P46" s="24">
        <f t="shared" ref="P46:P56" si="6">SUM(Q46,R46)</f>
        <v>1</v>
      </c>
      <c r="Q46" s="8">
        <f t="shared" ref="Q46:Q56" si="7">S46</f>
        <v>0</v>
      </c>
      <c r="R46" s="8">
        <f t="shared" ref="R46:R56" si="8">SUM(T46:BX46)</f>
        <v>1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>
        <v>1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</row>
    <row r="47" spans="1:76" ht="16.5" customHeight="1" x14ac:dyDescent="0.3">
      <c r="A47" t="s">
        <v>573</v>
      </c>
      <c r="B47" t="s">
        <v>656</v>
      </c>
      <c r="C47" t="s">
        <v>657</v>
      </c>
      <c r="D47" t="s">
        <v>680</v>
      </c>
      <c r="E47" t="s">
        <v>681</v>
      </c>
      <c r="F47" t="s">
        <v>681</v>
      </c>
      <c r="G47" s="5">
        <v>1493971</v>
      </c>
      <c r="H47" s="7" t="s">
        <v>295</v>
      </c>
      <c r="I47" s="5" t="s">
        <v>253</v>
      </c>
      <c r="J47" s="5">
        <v>2</v>
      </c>
      <c r="K47" s="5" t="s">
        <v>102</v>
      </c>
      <c r="L47" s="5" t="s">
        <v>109</v>
      </c>
      <c r="M47" s="5" t="s">
        <v>94</v>
      </c>
      <c r="N47" s="5" t="s">
        <v>283</v>
      </c>
      <c r="O47" s="4"/>
      <c r="P47" s="24">
        <f t="shared" si="6"/>
        <v>60</v>
      </c>
      <c r="Q47" s="8">
        <f t="shared" si="7"/>
        <v>0</v>
      </c>
      <c r="R47" s="8">
        <f t="shared" si="8"/>
        <v>60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>
        <v>1</v>
      </c>
      <c r="AF47" s="8"/>
      <c r="AG47" s="8"/>
      <c r="AH47" s="8"/>
      <c r="AI47" s="8"/>
      <c r="AJ47" s="8"/>
      <c r="AK47" s="8"/>
      <c r="AL47" s="8"/>
      <c r="AM47" s="8"/>
      <c r="AN47" s="8">
        <v>1</v>
      </c>
      <c r="AO47" s="8"/>
      <c r="AP47" s="8">
        <v>4</v>
      </c>
      <c r="AQ47" s="8"/>
      <c r="AR47" s="8"/>
      <c r="AS47" s="8"/>
      <c r="AT47" s="8"/>
      <c r="AU47" s="8"/>
      <c r="AV47" s="8"/>
      <c r="AW47" s="8">
        <v>1</v>
      </c>
      <c r="AX47" s="8"/>
      <c r="AY47" s="8">
        <v>11</v>
      </c>
      <c r="AZ47" s="8"/>
      <c r="BA47" s="8"/>
      <c r="BB47" s="8"/>
      <c r="BC47" s="8"/>
      <c r="BD47" s="8"/>
      <c r="BE47" s="8"/>
      <c r="BF47" s="8"/>
      <c r="BG47" s="8"/>
      <c r="BH47" s="8">
        <v>3</v>
      </c>
      <c r="BI47" s="8"/>
      <c r="BJ47" s="8">
        <v>12</v>
      </c>
      <c r="BK47" s="8"/>
      <c r="BL47" s="8">
        <v>5</v>
      </c>
      <c r="BM47" s="8"/>
      <c r="BN47" s="8"/>
      <c r="BO47" s="8"/>
      <c r="BP47" s="8"/>
      <c r="BQ47" s="8">
        <v>12</v>
      </c>
      <c r="BR47" s="8"/>
      <c r="BS47" s="8">
        <v>10</v>
      </c>
      <c r="BT47" s="8"/>
      <c r="BU47" s="8"/>
      <c r="BV47" s="8"/>
      <c r="BW47" s="8"/>
      <c r="BX47" s="8"/>
    </row>
    <row r="48" spans="1:76" ht="16.5" customHeight="1" x14ac:dyDescent="0.3">
      <c r="A48" t="s">
        <v>573</v>
      </c>
      <c r="B48" t="s">
        <v>656</v>
      </c>
      <c r="C48" t="s">
        <v>657</v>
      </c>
      <c r="D48" t="s">
        <v>680</v>
      </c>
      <c r="E48" t="s">
        <v>682</v>
      </c>
      <c r="F48" t="s">
        <v>682</v>
      </c>
      <c r="G48" s="5">
        <v>1492909</v>
      </c>
      <c r="H48" s="7" t="s">
        <v>296</v>
      </c>
      <c r="I48" s="5" t="s">
        <v>253</v>
      </c>
      <c r="J48" s="5">
        <v>2</v>
      </c>
      <c r="K48" s="5" t="s">
        <v>102</v>
      </c>
      <c r="L48" s="5" t="s">
        <v>109</v>
      </c>
      <c r="M48" s="5" t="s">
        <v>94</v>
      </c>
      <c r="N48" s="5" t="s">
        <v>283</v>
      </c>
      <c r="O48" s="4"/>
      <c r="P48" s="24">
        <f t="shared" si="6"/>
        <v>18</v>
      </c>
      <c r="Q48" s="8">
        <f t="shared" si="7"/>
        <v>0</v>
      </c>
      <c r="R48" s="8">
        <f t="shared" si="8"/>
        <v>18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>
        <v>1</v>
      </c>
      <c r="AK48" s="8"/>
      <c r="AL48" s="8"/>
      <c r="AM48" s="8"/>
      <c r="AN48" s="8"/>
      <c r="AO48" s="8"/>
      <c r="AP48" s="8">
        <v>2</v>
      </c>
      <c r="AQ48" s="8"/>
      <c r="AR48" s="8"/>
      <c r="AS48" s="8"/>
      <c r="AT48" s="8"/>
      <c r="AU48" s="8"/>
      <c r="AV48" s="8"/>
      <c r="AW48" s="8"/>
      <c r="AX48" s="8"/>
      <c r="AY48" s="8">
        <v>3</v>
      </c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>
        <v>6</v>
      </c>
      <c r="BK48" s="8"/>
      <c r="BL48" s="8"/>
      <c r="BM48" s="8"/>
      <c r="BN48" s="8"/>
      <c r="BO48" s="8"/>
      <c r="BP48" s="8"/>
      <c r="BQ48" s="8">
        <v>4</v>
      </c>
      <c r="BR48" s="8"/>
      <c r="BS48" s="8">
        <v>2</v>
      </c>
      <c r="BT48" s="8"/>
      <c r="BU48" s="8"/>
      <c r="BV48" s="8"/>
      <c r="BW48" s="8"/>
      <c r="BX48" s="8"/>
    </row>
    <row r="49" spans="1:76" ht="16.5" customHeight="1" x14ac:dyDescent="0.3">
      <c r="A49" t="s">
        <v>573</v>
      </c>
      <c r="B49" t="s">
        <v>656</v>
      </c>
      <c r="C49" t="s">
        <v>657</v>
      </c>
      <c r="D49" t="s">
        <v>680</v>
      </c>
      <c r="E49" t="s">
        <v>665</v>
      </c>
      <c r="F49" t="s">
        <v>665</v>
      </c>
      <c r="G49" s="5">
        <v>1494761</v>
      </c>
      <c r="H49" s="7" t="s">
        <v>284</v>
      </c>
      <c r="I49" s="5" t="s">
        <v>253</v>
      </c>
      <c r="J49" s="5">
        <v>2</v>
      </c>
      <c r="K49" s="5" t="s">
        <v>102</v>
      </c>
      <c r="L49" s="5" t="s">
        <v>109</v>
      </c>
      <c r="M49" s="5" t="s">
        <v>94</v>
      </c>
      <c r="N49" s="5" t="s">
        <v>285</v>
      </c>
      <c r="O49" s="4"/>
      <c r="P49" s="24">
        <f t="shared" si="6"/>
        <v>11</v>
      </c>
      <c r="Q49" s="8">
        <f t="shared" si="7"/>
        <v>0</v>
      </c>
      <c r="R49" s="8">
        <f t="shared" si="8"/>
        <v>11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>
        <v>1</v>
      </c>
      <c r="AK49" s="8"/>
      <c r="AL49" s="8"/>
      <c r="AM49" s="8"/>
      <c r="AN49" s="8"/>
      <c r="AO49" s="8">
        <v>1</v>
      </c>
      <c r="AP49" s="8"/>
      <c r="AQ49" s="8"/>
      <c r="AR49" s="8"/>
      <c r="AS49" s="8"/>
      <c r="AT49" s="8"/>
      <c r="AU49" s="8"/>
      <c r="AV49" s="8"/>
      <c r="AW49" s="8"/>
      <c r="AX49" s="8"/>
      <c r="AY49" s="8">
        <v>3</v>
      </c>
      <c r="AZ49" s="8"/>
      <c r="BA49" s="8"/>
      <c r="BB49" s="8"/>
      <c r="BC49" s="8"/>
      <c r="BD49" s="8"/>
      <c r="BE49" s="8"/>
      <c r="BF49" s="8"/>
      <c r="BG49" s="8"/>
      <c r="BH49" s="8"/>
      <c r="BI49" s="8">
        <v>1</v>
      </c>
      <c r="BJ49" s="8"/>
      <c r="BK49" s="8"/>
      <c r="BL49" s="8">
        <v>1</v>
      </c>
      <c r="BM49" s="8"/>
      <c r="BN49" s="8"/>
      <c r="BO49" s="8"/>
      <c r="BP49" s="8">
        <v>2</v>
      </c>
      <c r="BQ49" s="8">
        <v>2</v>
      </c>
      <c r="BR49" s="8"/>
      <c r="BS49" s="8"/>
      <c r="BT49" s="8"/>
      <c r="BU49" s="8"/>
      <c r="BV49" s="8"/>
      <c r="BW49" s="8"/>
      <c r="BX49" s="8"/>
    </row>
    <row r="50" spans="1:76" ht="16.5" customHeight="1" x14ac:dyDescent="0.3">
      <c r="A50" t="s">
        <v>573</v>
      </c>
      <c r="B50" t="s">
        <v>656</v>
      </c>
      <c r="C50" t="s">
        <v>657</v>
      </c>
      <c r="D50" t="s">
        <v>680</v>
      </c>
      <c r="E50" t="s">
        <v>666</v>
      </c>
      <c r="F50" t="s">
        <v>666</v>
      </c>
      <c r="G50" s="5">
        <v>1494762</v>
      </c>
      <c r="H50" s="7" t="s">
        <v>286</v>
      </c>
      <c r="I50" s="5" t="s">
        <v>253</v>
      </c>
      <c r="J50" s="5">
        <v>2</v>
      </c>
      <c r="K50" s="5" t="s">
        <v>102</v>
      </c>
      <c r="L50" s="5" t="s">
        <v>109</v>
      </c>
      <c r="M50" s="5" t="s">
        <v>94</v>
      </c>
      <c r="N50" s="5" t="s">
        <v>285</v>
      </c>
      <c r="O50" s="4"/>
      <c r="P50" s="24">
        <f t="shared" si="6"/>
        <v>16</v>
      </c>
      <c r="Q50" s="8">
        <f t="shared" si="7"/>
        <v>0</v>
      </c>
      <c r="R50" s="8">
        <f t="shared" si="8"/>
        <v>16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>
        <v>1</v>
      </c>
      <c r="AK50" s="8"/>
      <c r="AL50" s="8"/>
      <c r="AM50" s="8"/>
      <c r="AN50" s="8">
        <v>1</v>
      </c>
      <c r="AO50" s="8"/>
      <c r="AP50" s="8"/>
      <c r="AQ50" s="8"/>
      <c r="AR50" s="8"/>
      <c r="AS50" s="8"/>
      <c r="AT50" s="8"/>
      <c r="AU50" s="8"/>
      <c r="AV50" s="8"/>
      <c r="AW50" s="8">
        <v>1</v>
      </c>
      <c r="AX50" s="8"/>
      <c r="AY50" s="8">
        <v>1</v>
      </c>
      <c r="AZ50" s="8"/>
      <c r="BA50" s="8"/>
      <c r="BB50" s="8"/>
      <c r="BC50" s="8">
        <v>1</v>
      </c>
      <c r="BD50" s="8"/>
      <c r="BE50" s="8"/>
      <c r="BF50" s="8"/>
      <c r="BG50" s="8"/>
      <c r="BH50" s="8">
        <v>1</v>
      </c>
      <c r="BI50" s="8"/>
      <c r="BJ50" s="8">
        <v>2</v>
      </c>
      <c r="BK50" s="8"/>
      <c r="BL50" s="8">
        <v>1</v>
      </c>
      <c r="BM50" s="8"/>
      <c r="BN50" s="8"/>
      <c r="BO50" s="8">
        <v>1</v>
      </c>
      <c r="BP50" s="8"/>
      <c r="BQ50" s="8">
        <v>2</v>
      </c>
      <c r="BR50" s="8"/>
      <c r="BS50" s="8">
        <v>2</v>
      </c>
      <c r="BT50" s="8">
        <v>1</v>
      </c>
      <c r="BU50" s="8"/>
      <c r="BV50" s="8">
        <v>1</v>
      </c>
      <c r="BW50" s="8"/>
      <c r="BX50" s="8"/>
    </row>
    <row r="51" spans="1:76" ht="16.5" customHeight="1" x14ac:dyDescent="0.3">
      <c r="A51" t="s">
        <v>573</v>
      </c>
      <c r="B51" t="s">
        <v>656</v>
      </c>
      <c r="C51" t="s">
        <v>657</v>
      </c>
      <c r="D51" t="s">
        <v>680</v>
      </c>
      <c r="E51" t="s">
        <v>670</v>
      </c>
      <c r="F51" t="s">
        <v>670</v>
      </c>
      <c r="G51" s="5">
        <v>1495134</v>
      </c>
      <c r="H51" s="7" t="s">
        <v>288</v>
      </c>
      <c r="I51" s="5" t="s">
        <v>253</v>
      </c>
      <c r="J51" s="5">
        <v>2</v>
      </c>
      <c r="K51" s="5" t="s">
        <v>102</v>
      </c>
      <c r="L51" s="5" t="s">
        <v>109</v>
      </c>
      <c r="M51" s="5" t="s">
        <v>94</v>
      </c>
      <c r="N51" s="5" t="s">
        <v>285</v>
      </c>
      <c r="O51" s="4"/>
      <c r="P51" s="24">
        <f t="shared" si="6"/>
        <v>30</v>
      </c>
      <c r="Q51" s="8">
        <f t="shared" si="7"/>
        <v>0</v>
      </c>
      <c r="R51" s="8">
        <f t="shared" si="8"/>
        <v>30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>
        <v>2</v>
      </c>
      <c r="AJ51" s="8"/>
      <c r="AK51" s="8"/>
      <c r="AL51" s="8"/>
      <c r="AM51" s="8"/>
      <c r="AN51" s="8">
        <v>10</v>
      </c>
      <c r="AO51" s="8"/>
      <c r="AP51" s="8"/>
      <c r="AQ51" s="8"/>
      <c r="AR51" s="8"/>
      <c r="AS51" s="8"/>
      <c r="AT51" s="8"/>
      <c r="AU51" s="8"/>
      <c r="AV51" s="8"/>
      <c r="AW51" s="8">
        <v>13</v>
      </c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>
        <v>4</v>
      </c>
      <c r="BI51" s="8"/>
      <c r="BJ51" s="8"/>
      <c r="BK51" s="8"/>
      <c r="BL51" s="8"/>
      <c r="BM51" s="8"/>
      <c r="BN51" s="8"/>
      <c r="BO51" s="8">
        <v>1</v>
      </c>
      <c r="BP51" s="8"/>
      <c r="BQ51" s="8"/>
      <c r="BR51" s="8"/>
      <c r="BS51" s="8"/>
      <c r="BT51" s="8"/>
      <c r="BU51" s="8"/>
      <c r="BV51" s="8"/>
      <c r="BW51" s="8"/>
      <c r="BX51" s="8"/>
    </row>
    <row r="52" spans="1:76" ht="16.5" customHeight="1" x14ac:dyDescent="0.3">
      <c r="A52" t="s">
        <v>573</v>
      </c>
      <c r="B52" t="s">
        <v>656</v>
      </c>
      <c r="C52" t="s">
        <v>657</v>
      </c>
      <c r="D52" t="s">
        <v>680</v>
      </c>
      <c r="E52" t="s">
        <v>671</v>
      </c>
      <c r="F52" t="s">
        <v>671</v>
      </c>
      <c r="G52" s="5">
        <v>1495170</v>
      </c>
      <c r="H52" s="7" t="s">
        <v>289</v>
      </c>
      <c r="I52" s="5" t="s">
        <v>253</v>
      </c>
      <c r="J52" s="5">
        <v>2</v>
      </c>
      <c r="K52" s="5" t="s">
        <v>102</v>
      </c>
      <c r="L52" s="5" t="s">
        <v>109</v>
      </c>
      <c r="M52" s="5" t="s">
        <v>94</v>
      </c>
      <c r="N52" s="5" t="s">
        <v>285</v>
      </c>
      <c r="O52" s="4"/>
      <c r="P52" s="24">
        <f t="shared" si="6"/>
        <v>24</v>
      </c>
      <c r="Q52" s="8">
        <f t="shared" si="7"/>
        <v>0</v>
      </c>
      <c r="R52" s="8">
        <f t="shared" si="8"/>
        <v>24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>
        <v>1</v>
      </c>
      <c r="AJ52" s="8"/>
      <c r="AK52" s="8"/>
      <c r="AL52" s="8"/>
      <c r="AM52" s="8"/>
      <c r="AN52" s="8">
        <v>9</v>
      </c>
      <c r="AO52" s="8"/>
      <c r="AP52" s="8"/>
      <c r="AQ52" s="8"/>
      <c r="AR52" s="8"/>
      <c r="AS52" s="8"/>
      <c r="AT52" s="8"/>
      <c r="AU52" s="8"/>
      <c r="AV52" s="8"/>
      <c r="AW52" s="8">
        <v>10</v>
      </c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>
        <v>3</v>
      </c>
      <c r="BI52" s="8"/>
      <c r="BJ52" s="8"/>
      <c r="BK52" s="8"/>
      <c r="BL52" s="8"/>
      <c r="BM52" s="8"/>
      <c r="BN52" s="8"/>
      <c r="BO52" s="8">
        <v>1</v>
      </c>
      <c r="BP52" s="8"/>
      <c r="BQ52" s="8"/>
      <c r="BR52" s="8"/>
      <c r="BS52" s="8"/>
      <c r="BT52" s="8"/>
      <c r="BU52" s="8"/>
      <c r="BV52" s="8"/>
      <c r="BW52" s="8"/>
      <c r="BX52" s="8"/>
    </row>
    <row r="53" spans="1:76" ht="16.5" customHeight="1" x14ac:dyDescent="0.3">
      <c r="A53" t="s">
        <v>573</v>
      </c>
      <c r="B53" t="s">
        <v>656</v>
      </c>
      <c r="C53" t="s">
        <v>657</v>
      </c>
      <c r="D53" t="s">
        <v>680</v>
      </c>
      <c r="E53" t="s">
        <v>672</v>
      </c>
      <c r="F53" t="s">
        <v>672</v>
      </c>
      <c r="G53" s="5">
        <v>1495201</v>
      </c>
      <c r="H53" s="7" t="s">
        <v>290</v>
      </c>
      <c r="I53" s="5" t="s">
        <v>253</v>
      </c>
      <c r="J53" s="5">
        <v>2</v>
      </c>
      <c r="K53" s="5" t="s">
        <v>102</v>
      </c>
      <c r="L53" s="5" t="s">
        <v>109</v>
      </c>
      <c r="M53" s="5" t="s">
        <v>94</v>
      </c>
      <c r="N53" s="5" t="s">
        <v>285</v>
      </c>
      <c r="O53" s="4"/>
      <c r="P53" s="24">
        <f t="shared" si="6"/>
        <v>16</v>
      </c>
      <c r="Q53" s="8">
        <f t="shared" si="7"/>
        <v>0</v>
      </c>
      <c r="R53" s="8">
        <f t="shared" si="8"/>
        <v>16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>
        <v>6</v>
      </c>
      <c r="AO53" s="8"/>
      <c r="AP53" s="8"/>
      <c r="AQ53" s="8"/>
      <c r="AR53" s="8"/>
      <c r="AS53" s="8"/>
      <c r="AT53" s="8"/>
      <c r="AU53" s="8"/>
      <c r="AV53" s="8"/>
      <c r="AW53" s="8">
        <v>7</v>
      </c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>
        <v>2</v>
      </c>
      <c r="BI53" s="8"/>
      <c r="BJ53" s="8"/>
      <c r="BK53" s="8"/>
      <c r="BL53" s="8"/>
      <c r="BM53" s="8"/>
      <c r="BN53" s="8"/>
      <c r="BO53" s="8">
        <v>1</v>
      </c>
      <c r="BP53" s="8"/>
      <c r="BQ53" s="8"/>
      <c r="BR53" s="8"/>
      <c r="BS53" s="8"/>
      <c r="BT53" s="8"/>
      <c r="BU53" s="8"/>
      <c r="BV53" s="8"/>
      <c r="BW53" s="8"/>
      <c r="BX53" s="8"/>
    </row>
    <row r="54" spans="1:76" ht="16.5" customHeight="1" x14ac:dyDescent="0.3">
      <c r="A54" t="s">
        <v>573</v>
      </c>
      <c r="B54" t="s">
        <v>656</v>
      </c>
      <c r="C54" t="s">
        <v>657</v>
      </c>
      <c r="D54" t="s">
        <v>680</v>
      </c>
      <c r="E54" t="s">
        <v>679</v>
      </c>
      <c r="F54" t="s">
        <v>679</v>
      </c>
      <c r="G54" s="5">
        <v>1495228</v>
      </c>
      <c r="H54" s="7" t="s">
        <v>291</v>
      </c>
      <c r="I54" s="5" t="s">
        <v>253</v>
      </c>
      <c r="J54" s="5">
        <v>2</v>
      </c>
      <c r="K54" s="5" t="s">
        <v>102</v>
      </c>
      <c r="L54" s="5" t="s">
        <v>109</v>
      </c>
      <c r="M54" s="5" t="s">
        <v>94</v>
      </c>
      <c r="N54" s="5" t="s">
        <v>285</v>
      </c>
      <c r="O54" s="4"/>
      <c r="P54" s="24">
        <f t="shared" si="6"/>
        <v>11</v>
      </c>
      <c r="Q54" s="8">
        <f t="shared" si="7"/>
        <v>0</v>
      </c>
      <c r="R54" s="8">
        <f t="shared" si="8"/>
        <v>11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>
        <v>1</v>
      </c>
      <c r="AJ54" s="8"/>
      <c r="AK54" s="8"/>
      <c r="AL54" s="8"/>
      <c r="AM54" s="8"/>
      <c r="AN54" s="8">
        <v>4</v>
      </c>
      <c r="AO54" s="8"/>
      <c r="AP54" s="8"/>
      <c r="AQ54" s="8"/>
      <c r="AR54" s="8"/>
      <c r="AS54" s="8"/>
      <c r="AT54" s="8"/>
      <c r="AU54" s="8"/>
      <c r="AV54" s="8"/>
      <c r="AW54" s="8">
        <v>5</v>
      </c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>
        <v>1</v>
      </c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</row>
    <row r="55" spans="1:76" ht="16.5" customHeight="1" x14ac:dyDescent="0.3">
      <c r="A55" t="s">
        <v>573</v>
      </c>
      <c r="B55" t="s">
        <v>656</v>
      </c>
      <c r="C55" t="s">
        <v>657</v>
      </c>
      <c r="D55" t="s">
        <v>680</v>
      </c>
      <c r="E55" t="s">
        <v>675</v>
      </c>
      <c r="F55" t="s">
        <v>675</v>
      </c>
      <c r="G55" s="5">
        <v>1495249</v>
      </c>
      <c r="H55" s="7" t="s">
        <v>297</v>
      </c>
      <c r="I55" s="5" t="s">
        <v>253</v>
      </c>
      <c r="J55" s="5">
        <v>2</v>
      </c>
      <c r="K55" s="5" t="s">
        <v>102</v>
      </c>
      <c r="L55" s="5" t="s">
        <v>109</v>
      </c>
      <c r="M55" s="5" t="s">
        <v>94</v>
      </c>
      <c r="N55" s="5" t="s">
        <v>285</v>
      </c>
      <c r="O55" s="4"/>
      <c r="P55" s="24">
        <f t="shared" si="6"/>
        <v>5</v>
      </c>
      <c r="Q55" s="8">
        <f t="shared" si="7"/>
        <v>0</v>
      </c>
      <c r="R55" s="8">
        <f t="shared" si="8"/>
        <v>5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>
        <v>1</v>
      </c>
      <c r="AL55" s="8"/>
      <c r="AM55" s="8"/>
      <c r="AN55" s="8"/>
      <c r="AO55" s="8"/>
      <c r="AP55" s="8"/>
      <c r="AQ55" s="8">
        <v>2</v>
      </c>
      <c r="AR55" s="8"/>
      <c r="AS55" s="8"/>
      <c r="AT55" s="8"/>
      <c r="AU55" s="8"/>
      <c r="AV55" s="8"/>
      <c r="AW55" s="8"/>
      <c r="AX55" s="8"/>
      <c r="AY55" s="8"/>
      <c r="AZ55" s="8">
        <v>2</v>
      </c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</row>
    <row r="56" spans="1:76" ht="16.5" customHeight="1" x14ac:dyDescent="0.3">
      <c r="A56" t="s">
        <v>573</v>
      </c>
      <c r="B56" t="s">
        <v>656</v>
      </c>
      <c r="C56" t="s">
        <v>657</v>
      </c>
      <c r="D56" t="s">
        <v>680</v>
      </c>
      <c r="E56" t="s">
        <v>676</v>
      </c>
      <c r="F56" t="s">
        <v>676</v>
      </c>
      <c r="G56" s="5">
        <v>1495266</v>
      </c>
      <c r="H56" s="7" t="s">
        <v>292</v>
      </c>
      <c r="I56" s="5" t="s">
        <v>253</v>
      </c>
      <c r="J56" s="5">
        <v>2</v>
      </c>
      <c r="K56" s="5" t="s">
        <v>102</v>
      </c>
      <c r="L56" s="5" t="s">
        <v>109</v>
      </c>
      <c r="M56" s="5" t="s">
        <v>94</v>
      </c>
      <c r="N56" s="5" t="s">
        <v>285</v>
      </c>
      <c r="O56" s="4"/>
      <c r="P56" s="24">
        <f t="shared" si="6"/>
        <v>17</v>
      </c>
      <c r="Q56" s="8">
        <f t="shared" si="7"/>
        <v>0</v>
      </c>
      <c r="R56" s="8">
        <f t="shared" si="8"/>
        <v>17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>
        <v>1</v>
      </c>
      <c r="AK56" s="8"/>
      <c r="AL56" s="8"/>
      <c r="AM56" s="8"/>
      <c r="AN56" s="8"/>
      <c r="AO56" s="8"/>
      <c r="AP56" s="8"/>
      <c r="AQ56" s="8">
        <v>3</v>
      </c>
      <c r="AR56" s="8"/>
      <c r="AS56" s="8"/>
      <c r="AT56" s="8"/>
      <c r="AU56" s="8">
        <v>1</v>
      </c>
      <c r="AV56" s="8"/>
      <c r="AW56" s="8"/>
      <c r="AX56" s="8"/>
      <c r="AY56" s="8"/>
      <c r="AZ56" s="8">
        <v>6</v>
      </c>
      <c r="BA56" s="8"/>
      <c r="BB56" s="8"/>
      <c r="BC56" s="8"/>
      <c r="BD56" s="8">
        <v>3</v>
      </c>
      <c r="BE56" s="8">
        <v>1</v>
      </c>
      <c r="BF56" s="8"/>
      <c r="BG56" s="8"/>
      <c r="BH56" s="8">
        <v>2</v>
      </c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</row>
    <row r="57" spans="1:76" ht="16.5" customHeight="1" x14ac:dyDescent="0.3">
      <c r="G57" s="14">
        <v>1493979</v>
      </c>
      <c r="H57" s="15" t="s">
        <v>298</v>
      </c>
      <c r="I57" s="14" t="s">
        <v>253</v>
      </c>
      <c r="J57" s="14">
        <v>2</v>
      </c>
      <c r="K57" s="14" t="s">
        <v>254</v>
      </c>
      <c r="L57" s="14" t="s">
        <v>255</v>
      </c>
      <c r="M57" s="14" t="s">
        <v>94</v>
      </c>
      <c r="N57" s="14" t="s">
        <v>110</v>
      </c>
      <c r="O57" s="13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</row>
    <row r="58" spans="1:76" ht="16.5" customHeight="1" x14ac:dyDescent="0.3">
      <c r="A58" t="s">
        <v>573</v>
      </c>
      <c r="B58" t="s">
        <v>656</v>
      </c>
      <c r="C58" t="s">
        <v>657</v>
      </c>
      <c r="D58" t="s">
        <v>683</v>
      </c>
      <c r="E58" t="s">
        <v>683</v>
      </c>
      <c r="F58" t="s">
        <v>683</v>
      </c>
      <c r="G58" s="5">
        <v>1493979</v>
      </c>
      <c r="H58" s="38" t="s">
        <v>299</v>
      </c>
      <c r="I58" s="5" t="s">
        <v>253</v>
      </c>
      <c r="J58" s="5">
        <v>2</v>
      </c>
      <c r="K58" s="5" t="s">
        <v>254</v>
      </c>
      <c r="L58" s="5" t="s">
        <v>255</v>
      </c>
      <c r="M58" s="5" t="s">
        <v>94</v>
      </c>
      <c r="N58" s="5" t="s">
        <v>110</v>
      </c>
      <c r="O58" s="4"/>
      <c r="P58" s="24">
        <f t="shared" ref="P58:P66" si="9">SUM(Q58,R58)</f>
        <v>1</v>
      </c>
      <c r="Q58" s="8">
        <f t="shared" ref="Q58:Q66" si="10">S58</f>
        <v>0</v>
      </c>
      <c r="R58" s="8">
        <f t="shared" ref="R58:R66" si="11">SUM(T58:BX58)</f>
        <v>1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>
        <v>1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</row>
    <row r="59" spans="1:76" ht="16.5" customHeight="1" x14ac:dyDescent="0.3">
      <c r="A59" t="s">
        <v>573</v>
      </c>
      <c r="B59" t="s">
        <v>656</v>
      </c>
      <c r="C59" t="s">
        <v>657</v>
      </c>
      <c r="D59" t="s">
        <v>683</v>
      </c>
      <c r="E59" t="s">
        <v>684</v>
      </c>
      <c r="F59" t="s">
        <v>684</v>
      </c>
      <c r="G59" s="5">
        <v>1493980</v>
      </c>
      <c r="H59" s="7" t="s">
        <v>300</v>
      </c>
      <c r="I59" s="5" t="s">
        <v>253</v>
      </c>
      <c r="J59" s="5">
        <v>2</v>
      </c>
      <c r="K59" s="5" t="s">
        <v>102</v>
      </c>
      <c r="L59" s="5" t="s">
        <v>109</v>
      </c>
      <c r="M59" s="5" t="s">
        <v>94</v>
      </c>
      <c r="N59" s="5" t="s">
        <v>283</v>
      </c>
      <c r="O59" s="4"/>
      <c r="P59" s="24">
        <f t="shared" si="9"/>
        <v>84</v>
      </c>
      <c r="Q59" s="8">
        <f t="shared" si="10"/>
        <v>0</v>
      </c>
      <c r="R59" s="8">
        <f t="shared" si="11"/>
        <v>84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>
        <v>1</v>
      </c>
      <c r="AF59" s="8"/>
      <c r="AG59" s="8"/>
      <c r="AH59" s="8"/>
      <c r="AI59" s="8"/>
      <c r="AJ59" s="8"/>
      <c r="AK59" s="8"/>
      <c r="AL59" s="8"/>
      <c r="AM59" s="8"/>
      <c r="AN59" s="8">
        <v>1</v>
      </c>
      <c r="AO59" s="8"/>
      <c r="AP59" s="8">
        <v>6</v>
      </c>
      <c r="AQ59" s="8"/>
      <c r="AR59" s="8"/>
      <c r="AS59" s="8"/>
      <c r="AT59" s="8"/>
      <c r="AU59" s="8"/>
      <c r="AV59" s="8"/>
      <c r="AW59" s="8">
        <v>1</v>
      </c>
      <c r="AX59" s="8"/>
      <c r="AY59" s="8">
        <v>16</v>
      </c>
      <c r="AZ59" s="8"/>
      <c r="BA59" s="8"/>
      <c r="BB59" s="8"/>
      <c r="BC59" s="8">
        <v>1</v>
      </c>
      <c r="BD59" s="8"/>
      <c r="BE59" s="8"/>
      <c r="BF59" s="8"/>
      <c r="BG59" s="8"/>
      <c r="BH59" s="8">
        <v>1</v>
      </c>
      <c r="BI59" s="8"/>
      <c r="BJ59" s="8">
        <v>24</v>
      </c>
      <c r="BK59" s="8"/>
      <c r="BL59" s="8">
        <v>3</v>
      </c>
      <c r="BM59" s="8"/>
      <c r="BN59" s="8"/>
      <c r="BO59" s="8">
        <v>1</v>
      </c>
      <c r="BP59" s="8"/>
      <c r="BQ59" s="8">
        <v>17</v>
      </c>
      <c r="BR59" s="8"/>
      <c r="BS59" s="8">
        <v>12</v>
      </c>
      <c r="BT59" s="8"/>
      <c r="BU59" s="8"/>
      <c r="BV59" s="8"/>
      <c r="BW59" s="8"/>
      <c r="BX59" s="8"/>
    </row>
    <row r="60" spans="1:76" ht="16.5" customHeight="1" x14ac:dyDescent="0.3">
      <c r="A60" t="s">
        <v>573</v>
      </c>
      <c r="B60" t="s">
        <v>656</v>
      </c>
      <c r="C60" t="s">
        <v>657</v>
      </c>
      <c r="D60" t="s">
        <v>683</v>
      </c>
      <c r="E60" t="s">
        <v>665</v>
      </c>
      <c r="F60" t="s">
        <v>665</v>
      </c>
      <c r="G60" s="5">
        <v>1494764</v>
      </c>
      <c r="H60" s="7" t="s">
        <v>284</v>
      </c>
      <c r="I60" s="5" t="s">
        <v>253</v>
      </c>
      <c r="J60" s="5">
        <v>2</v>
      </c>
      <c r="K60" s="5" t="s">
        <v>102</v>
      </c>
      <c r="L60" s="5" t="s">
        <v>109</v>
      </c>
      <c r="M60" s="5" t="s">
        <v>94</v>
      </c>
      <c r="N60" s="5" t="s">
        <v>285</v>
      </c>
      <c r="O60" s="4"/>
      <c r="P60" s="24">
        <f t="shared" si="9"/>
        <v>6</v>
      </c>
      <c r="Q60" s="8">
        <f t="shared" si="10"/>
        <v>0</v>
      </c>
      <c r="R60" s="8">
        <f t="shared" si="11"/>
        <v>6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>
        <v>1</v>
      </c>
      <c r="AK60" s="8"/>
      <c r="AL60" s="8"/>
      <c r="AM60" s="8"/>
      <c r="AN60" s="8">
        <v>1</v>
      </c>
      <c r="AO60" s="8"/>
      <c r="AP60" s="8"/>
      <c r="AQ60" s="8"/>
      <c r="AR60" s="8"/>
      <c r="AS60" s="8"/>
      <c r="AT60" s="8"/>
      <c r="AU60" s="8"/>
      <c r="AV60" s="8"/>
      <c r="AW60" s="8">
        <v>1</v>
      </c>
      <c r="AX60" s="8"/>
      <c r="AY60" s="8">
        <v>1</v>
      </c>
      <c r="AZ60" s="8"/>
      <c r="BA60" s="8"/>
      <c r="BB60" s="8"/>
      <c r="BC60" s="8"/>
      <c r="BD60" s="8"/>
      <c r="BE60" s="8"/>
      <c r="BF60" s="8"/>
      <c r="BG60" s="8"/>
      <c r="BH60" s="8">
        <v>1</v>
      </c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>
        <v>1</v>
      </c>
      <c r="BT60" s="8"/>
      <c r="BU60" s="8"/>
      <c r="BV60" s="8"/>
      <c r="BW60" s="8"/>
      <c r="BX60" s="8"/>
    </row>
    <row r="61" spans="1:76" ht="16.5" customHeight="1" x14ac:dyDescent="0.3">
      <c r="A61" t="s">
        <v>573</v>
      </c>
      <c r="B61" t="s">
        <v>656</v>
      </c>
      <c r="C61" t="s">
        <v>657</v>
      </c>
      <c r="D61" t="s">
        <v>683</v>
      </c>
      <c r="E61" t="s">
        <v>666</v>
      </c>
      <c r="F61" t="s">
        <v>666</v>
      </c>
      <c r="G61" s="5">
        <v>1494765</v>
      </c>
      <c r="H61" s="7" t="s">
        <v>286</v>
      </c>
      <c r="I61" s="5" t="s">
        <v>253</v>
      </c>
      <c r="J61" s="5">
        <v>2</v>
      </c>
      <c r="K61" s="5" t="s">
        <v>102</v>
      </c>
      <c r="L61" s="5" t="s">
        <v>109</v>
      </c>
      <c r="M61" s="5" t="s">
        <v>94</v>
      </c>
      <c r="N61" s="5" t="s">
        <v>285</v>
      </c>
      <c r="O61" s="4"/>
      <c r="P61" s="24">
        <f t="shared" si="9"/>
        <v>15</v>
      </c>
      <c r="Q61" s="8">
        <f t="shared" si="10"/>
        <v>0</v>
      </c>
      <c r="R61" s="8">
        <f t="shared" si="11"/>
        <v>15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>
        <v>1</v>
      </c>
      <c r="AK61" s="8"/>
      <c r="AL61" s="8"/>
      <c r="AM61" s="8"/>
      <c r="AN61" s="8">
        <v>1</v>
      </c>
      <c r="AO61" s="8"/>
      <c r="AP61" s="8"/>
      <c r="AQ61" s="8"/>
      <c r="AR61" s="8"/>
      <c r="AS61" s="8"/>
      <c r="AT61" s="8"/>
      <c r="AU61" s="8"/>
      <c r="AV61" s="8"/>
      <c r="AW61" s="8">
        <v>1</v>
      </c>
      <c r="AX61" s="8"/>
      <c r="AY61" s="8"/>
      <c r="AZ61" s="8"/>
      <c r="BA61" s="8"/>
      <c r="BB61" s="8"/>
      <c r="BC61" s="8">
        <v>2</v>
      </c>
      <c r="BD61" s="8"/>
      <c r="BE61" s="8"/>
      <c r="BF61" s="8"/>
      <c r="BG61" s="8"/>
      <c r="BH61" s="8"/>
      <c r="BI61" s="8"/>
      <c r="BJ61" s="8">
        <v>3</v>
      </c>
      <c r="BK61" s="8"/>
      <c r="BL61" s="8">
        <v>1</v>
      </c>
      <c r="BM61" s="8"/>
      <c r="BN61" s="8"/>
      <c r="BO61" s="8"/>
      <c r="BP61" s="8"/>
      <c r="BQ61" s="8"/>
      <c r="BR61" s="8"/>
      <c r="BS61" s="8">
        <v>3</v>
      </c>
      <c r="BT61" s="8">
        <v>1</v>
      </c>
      <c r="BU61" s="8">
        <v>1</v>
      </c>
      <c r="BV61" s="8">
        <v>1</v>
      </c>
      <c r="BW61" s="8"/>
      <c r="BX61" s="8"/>
    </row>
    <row r="62" spans="1:76" ht="16.5" customHeight="1" x14ac:dyDescent="0.3">
      <c r="A62" t="s">
        <v>573</v>
      </c>
      <c r="B62" t="s">
        <v>656</v>
      </c>
      <c r="C62" t="s">
        <v>657</v>
      </c>
      <c r="D62" t="s">
        <v>683</v>
      </c>
      <c r="E62" t="s">
        <v>670</v>
      </c>
      <c r="F62" t="s">
        <v>670</v>
      </c>
      <c r="G62" s="5">
        <v>1495099</v>
      </c>
      <c r="H62" s="7" t="s">
        <v>288</v>
      </c>
      <c r="I62" s="5" t="s">
        <v>253</v>
      </c>
      <c r="J62" s="5">
        <v>2</v>
      </c>
      <c r="K62" s="5" t="s">
        <v>102</v>
      </c>
      <c r="L62" s="5" t="s">
        <v>109</v>
      </c>
      <c r="M62" s="5" t="s">
        <v>94</v>
      </c>
      <c r="N62" s="5" t="s">
        <v>285</v>
      </c>
      <c r="O62" s="4"/>
      <c r="P62" s="24">
        <f t="shared" si="9"/>
        <v>24</v>
      </c>
      <c r="Q62" s="8">
        <f t="shared" si="10"/>
        <v>0</v>
      </c>
      <c r="R62" s="8">
        <f t="shared" si="11"/>
        <v>24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>
        <v>2</v>
      </c>
      <c r="AJ62" s="8"/>
      <c r="AK62" s="8"/>
      <c r="AL62" s="8"/>
      <c r="AM62" s="8"/>
      <c r="AN62" s="8">
        <v>9</v>
      </c>
      <c r="AO62" s="8"/>
      <c r="AP62" s="8"/>
      <c r="AQ62" s="8"/>
      <c r="AR62" s="8"/>
      <c r="AS62" s="8"/>
      <c r="AT62" s="8"/>
      <c r="AU62" s="8"/>
      <c r="AV62" s="8"/>
      <c r="AW62" s="8">
        <v>10</v>
      </c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>
        <v>2</v>
      </c>
      <c r="BI62" s="8"/>
      <c r="BJ62" s="8"/>
      <c r="BK62" s="8"/>
      <c r="BL62" s="8"/>
      <c r="BM62" s="8"/>
      <c r="BN62" s="8"/>
      <c r="BO62" s="8">
        <v>1</v>
      </c>
      <c r="BP62" s="8"/>
      <c r="BQ62" s="8"/>
      <c r="BR62" s="8"/>
      <c r="BS62" s="8"/>
      <c r="BT62" s="8"/>
      <c r="BU62" s="8"/>
      <c r="BV62" s="8"/>
      <c r="BW62" s="8"/>
      <c r="BX62" s="8"/>
    </row>
    <row r="63" spans="1:76" ht="16.5" customHeight="1" x14ac:dyDescent="0.3">
      <c r="A63" t="s">
        <v>573</v>
      </c>
      <c r="B63" t="s">
        <v>656</v>
      </c>
      <c r="C63" t="s">
        <v>657</v>
      </c>
      <c r="D63" t="s">
        <v>683</v>
      </c>
      <c r="E63" t="s">
        <v>671</v>
      </c>
      <c r="F63" t="s">
        <v>671</v>
      </c>
      <c r="G63" s="5">
        <v>1495136</v>
      </c>
      <c r="H63" s="7" t="s">
        <v>289</v>
      </c>
      <c r="I63" s="5" t="s">
        <v>253</v>
      </c>
      <c r="J63" s="5">
        <v>2</v>
      </c>
      <c r="K63" s="5" t="s">
        <v>102</v>
      </c>
      <c r="L63" s="5" t="s">
        <v>109</v>
      </c>
      <c r="M63" s="5" t="s">
        <v>94</v>
      </c>
      <c r="N63" s="5" t="s">
        <v>285</v>
      </c>
      <c r="O63" s="4"/>
      <c r="P63" s="24">
        <f t="shared" si="9"/>
        <v>19</v>
      </c>
      <c r="Q63" s="8">
        <f t="shared" si="10"/>
        <v>0</v>
      </c>
      <c r="R63" s="8">
        <f t="shared" si="11"/>
        <v>19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>
        <v>1</v>
      </c>
      <c r="AJ63" s="8"/>
      <c r="AK63" s="8"/>
      <c r="AL63" s="8"/>
      <c r="AM63" s="8"/>
      <c r="AN63" s="8">
        <v>6</v>
      </c>
      <c r="AO63" s="8"/>
      <c r="AP63" s="8"/>
      <c r="AQ63" s="8"/>
      <c r="AR63" s="8"/>
      <c r="AS63" s="8"/>
      <c r="AT63" s="8"/>
      <c r="AU63" s="8"/>
      <c r="AV63" s="8"/>
      <c r="AW63" s="8">
        <v>8</v>
      </c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>
        <v>3</v>
      </c>
      <c r="BI63" s="8"/>
      <c r="BJ63" s="8"/>
      <c r="BK63" s="8"/>
      <c r="BL63" s="8"/>
      <c r="BM63" s="8"/>
      <c r="BN63" s="8"/>
      <c r="BO63" s="8">
        <v>1</v>
      </c>
      <c r="BP63" s="8"/>
      <c r="BQ63" s="8"/>
      <c r="BR63" s="8"/>
      <c r="BS63" s="8"/>
      <c r="BT63" s="8"/>
      <c r="BU63" s="8"/>
      <c r="BV63" s="8"/>
      <c r="BW63" s="8"/>
      <c r="BX63" s="8"/>
    </row>
    <row r="64" spans="1:76" ht="16.5" customHeight="1" x14ac:dyDescent="0.3">
      <c r="A64" t="s">
        <v>573</v>
      </c>
      <c r="B64" t="s">
        <v>656</v>
      </c>
      <c r="C64" t="s">
        <v>657</v>
      </c>
      <c r="D64" t="s">
        <v>683</v>
      </c>
      <c r="E64" t="s">
        <v>672</v>
      </c>
      <c r="F64" t="s">
        <v>672</v>
      </c>
      <c r="G64" s="5">
        <v>1495172</v>
      </c>
      <c r="H64" s="7" t="s">
        <v>290</v>
      </c>
      <c r="I64" s="5" t="s">
        <v>253</v>
      </c>
      <c r="J64" s="5">
        <v>2</v>
      </c>
      <c r="K64" s="5" t="s">
        <v>102</v>
      </c>
      <c r="L64" s="5" t="s">
        <v>109</v>
      </c>
      <c r="M64" s="5" t="s">
        <v>94</v>
      </c>
      <c r="N64" s="5" t="s">
        <v>285</v>
      </c>
      <c r="O64" s="4"/>
      <c r="P64" s="24">
        <f t="shared" si="9"/>
        <v>18</v>
      </c>
      <c r="Q64" s="8">
        <f t="shared" si="10"/>
        <v>0</v>
      </c>
      <c r="R64" s="8">
        <f t="shared" si="11"/>
        <v>18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>
        <v>7</v>
      </c>
      <c r="AO64" s="8"/>
      <c r="AP64" s="8"/>
      <c r="AQ64" s="8"/>
      <c r="AR64" s="8"/>
      <c r="AS64" s="8"/>
      <c r="AT64" s="8"/>
      <c r="AU64" s="8"/>
      <c r="AV64" s="8"/>
      <c r="AW64" s="8">
        <v>8</v>
      </c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>
        <v>2</v>
      </c>
      <c r="BI64" s="8"/>
      <c r="BJ64" s="8"/>
      <c r="BK64" s="8"/>
      <c r="BL64" s="8"/>
      <c r="BM64" s="8"/>
      <c r="BN64" s="8"/>
      <c r="BO64" s="8">
        <v>1</v>
      </c>
      <c r="BP64" s="8"/>
      <c r="BQ64" s="8"/>
      <c r="BR64" s="8"/>
      <c r="BS64" s="8"/>
      <c r="BT64" s="8"/>
      <c r="BU64" s="8"/>
      <c r="BV64" s="8"/>
      <c r="BW64" s="8"/>
      <c r="BX64" s="8"/>
    </row>
    <row r="65" spans="1:76" ht="16.5" customHeight="1" x14ac:dyDescent="0.3">
      <c r="A65" t="s">
        <v>573</v>
      </c>
      <c r="B65" t="s">
        <v>656</v>
      </c>
      <c r="C65" t="s">
        <v>657</v>
      </c>
      <c r="D65" t="s">
        <v>683</v>
      </c>
      <c r="E65" t="s">
        <v>679</v>
      </c>
      <c r="F65" t="s">
        <v>679</v>
      </c>
      <c r="G65" s="5">
        <v>1495203</v>
      </c>
      <c r="H65" s="7" t="s">
        <v>291</v>
      </c>
      <c r="I65" s="5" t="s">
        <v>253</v>
      </c>
      <c r="J65" s="5">
        <v>2</v>
      </c>
      <c r="K65" s="5" t="s">
        <v>102</v>
      </c>
      <c r="L65" s="5" t="s">
        <v>109</v>
      </c>
      <c r="M65" s="5" t="s">
        <v>94</v>
      </c>
      <c r="N65" s="5" t="s">
        <v>285</v>
      </c>
      <c r="O65" s="4"/>
      <c r="P65" s="24">
        <f t="shared" si="9"/>
        <v>10</v>
      </c>
      <c r="Q65" s="8">
        <f t="shared" si="10"/>
        <v>0</v>
      </c>
      <c r="R65" s="8">
        <f t="shared" si="11"/>
        <v>10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>
        <v>1</v>
      </c>
      <c r="AJ65" s="8"/>
      <c r="AK65" s="8"/>
      <c r="AL65" s="8"/>
      <c r="AM65" s="8"/>
      <c r="AN65" s="8">
        <v>4</v>
      </c>
      <c r="AO65" s="8"/>
      <c r="AP65" s="8"/>
      <c r="AQ65" s="8"/>
      <c r="AR65" s="8"/>
      <c r="AS65" s="8"/>
      <c r="AT65" s="8"/>
      <c r="AU65" s="8"/>
      <c r="AV65" s="8"/>
      <c r="AW65" s="8">
        <v>4</v>
      </c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>
        <v>1</v>
      </c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</row>
    <row r="66" spans="1:76" ht="16.5" customHeight="1" x14ac:dyDescent="0.3">
      <c r="A66" t="s">
        <v>573</v>
      </c>
      <c r="B66" t="s">
        <v>656</v>
      </c>
      <c r="C66" t="s">
        <v>657</v>
      </c>
      <c r="D66" t="s">
        <v>683</v>
      </c>
      <c r="E66" t="s">
        <v>676</v>
      </c>
      <c r="F66" t="s">
        <v>676</v>
      </c>
      <c r="G66" s="5">
        <v>1495251</v>
      </c>
      <c r="H66" s="7" t="s">
        <v>292</v>
      </c>
      <c r="I66" s="5" t="s">
        <v>253</v>
      </c>
      <c r="J66" s="5">
        <v>2</v>
      </c>
      <c r="K66" s="5" t="s">
        <v>102</v>
      </c>
      <c r="L66" s="5" t="s">
        <v>109</v>
      </c>
      <c r="M66" s="5" t="s">
        <v>94</v>
      </c>
      <c r="N66" s="5" t="s">
        <v>285</v>
      </c>
      <c r="O66" s="4"/>
      <c r="P66" s="24">
        <f t="shared" si="9"/>
        <v>12</v>
      </c>
      <c r="Q66" s="8">
        <f t="shared" si="10"/>
        <v>0</v>
      </c>
      <c r="R66" s="8">
        <f t="shared" si="11"/>
        <v>12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>
        <v>1</v>
      </c>
      <c r="AK66" s="8"/>
      <c r="AL66" s="8"/>
      <c r="AM66" s="8"/>
      <c r="AN66" s="8"/>
      <c r="AO66" s="8"/>
      <c r="AP66" s="8"/>
      <c r="AQ66" s="8">
        <v>3</v>
      </c>
      <c r="AR66" s="8"/>
      <c r="AS66" s="8"/>
      <c r="AT66" s="8"/>
      <c r="AU66" s="8">
        <v>2</v>
      </c>
      <c r="AV66" s="8">
        <v>1</v>
      </c>
      <c r="AW66" s="8"/>
      <c r="AX66" s="8"/>
      <c r="AY66" s="8"/>
      <c r="AZ66" s="8">
        <v>3</v>
      </c>
      <c r="BA66" s="8"/>
      <c r="BB66" s="8"/>
      <c r="BC66" s="8"/>
      <c r="BD66" s="8">
        <v>2</v>
      </c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</row>
    <row r="67" spans="1:76" ht="16.5" customHeight="1" x14ac:dyDescent="0.3">
      <c r="G67" s="14">
        <v>1493987</v>
      </c>
      <c r="H67" s="15" t="s">
        <v>301</v>
      </c>
      <c r="I67" s="14" t="s">
        <v>253</v>
      </c>
      <c r="J67" s="14">
        <v>2</v>
      </c>
      <c r="K67" s="14" t="s">
        <v>254</v>
      </c>
      <c r="L67" s="14" t="s">
        <v>255</v>
      </c>
      <c r="M67" s="14" t="s">
        <v>94</v>
      </c>
      <c r="N67" s="14" t="s">
        <v>110</v>
      </c>
      <c r="O67" s="13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</row>
    <row r="68" spans="1:76" ht="16.5" customHeight="1" x14ac:dyDescent="0.3">
      <c r="A68" t="s">
        <v>573</v>
      </c>
      <c r="B68" t="s">
        <v>656</v>
      </c>
      <c r="C68" t="s">
        <v>657</v>
      </c>
      <c r="D68" t="s">
        <v>685</v>
      </c>
      <c r="E68" t="s">
        <v>685</v>
      </c>
      <c r="F68" t="s">
        <v>685</v>
      </c>
      <c r="G68" s="5">
        <v>1493987</v>
      </c>
      <c r="H68" s="38" t="s">
        <v>302</v>
      </c>
      <c r="I68" s="5" t="s">
        <v>253</v>
      </c>
      <c r="J68" s="5">
        <v>2</v>
      </c>
      <c r="K68" s="5" t="s">
        <v>254</v>
      </c>
      <c r="L68" s="5" t="s">
        <v>255</v>
      </c>
      <c r="M68" s="5" t="s">
        <v>94</v>
      </c>
      <c r="N68" s="5" t="s">
        <v>110</v>
      </c>
      <c r="O68" s="4"/>
      <c r="P68" s="24">
        <f t="shared" ref="P68:P78" si="12">SUM(Q68,R68)</f>
        <v>1</v>
      </c>
      <c r="Q68" s="8">
        <f t="shared" ref="Q68:Q78" si="13">S68</f>
        <v>0</v>
      </c>
      <c r="R68" s="8">
        <f t="shared" ref="R68:R78" si="14">SUM(T68:BX68)</f>
        <v>1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>
        <v>1</v>
      </c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</row>
    <row r="69" spans="1:76" ht="16.5" customHeight="1" x14ac:dyDescent="0.3">
      <c r="A69" t="s">
        <v>573</v>
      </c>
      <c r="B69" t="s">
        <v>656</v>
      </c>
      <c r="C69" t="s">
        <v>657</v>
      </c>
      <c r="D69" t="s">
        <v>685</v>
      </c>
      <c r="E69" t="s">
        <v>686</v>
      </c>
      <c r="F69" t="s">
        <v>686</v>
      </c>
      <c r="G69" s="5">
        <v>1493988</v>
      </c>
      <c r="H69" s="7" t="s">
        <v>303</v>
      </c>
      <c r="I69" s="5" t="s">
        <v>253</v>
      </c>
      <c r="J69" s="5">
        <v>2</v>
      </c>
      <c r="K69" s="5" t="s">
        <v>102</v>
      </c>
      <c r="L69" s="5" t="s">
        <v>109</v>
      </c>
      <c r="M69" s="5" t="s">
        <v>94</v>
      </c>
      <c r="N69" s="5" t="s">
        <v>283</v>
      </c>
      <c r="O69" s="4"/>
      <c r="P69" s="24">
        <f t="shared" si="12"/>
        <v>65</v>
      </c>
      <c r="Q69" s="8">
        <f t="shared" si="13"/>
        <v>0</v>
      </c>
      <c r="R69" s="8">
        <f t="shared" si="14"/>
        <v>65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>
        <v>1</v>
      </c>
      <c r="AF69" s="8"/>
      <c r="AG69" s="8"/>
      <c r="AH69" s="8"/>
      <c r="AI69" s="8"/>
      <c r="AJ69" s="8"/>
      <c r="AK69" s="8"/>
      <c r="AL69" s="8"/>
      <c r="AM69" s="8"/>
      <c r="AN69" s="8">
        <v>1</v>
      </c>
      <c r="AO69" s="8"/>
      <c r="AP69" s="8">
        <v>5</v>
      </c>
      <c r="AQ69" s="8"/>
      <c r="AR69" s="8"/>
      <c r="AS69" s="8"/>
      <c r="AT69" s="8"/>
      <c r="AU69" s="8"/>
      <c r="AV69" s="8"/>
      <c r="AW69" s="8">
        <v>1</v>
      </c>
      <c r="AX69" s="8"/>
      <c r="AY69" s="8">
        <v>11</v>
      </c>
      <c r="AZ69" s="8">
        <v>1</v>
      </c>
      <c r="BA69" s="8"/>
      <c r="BB69" s="8"/>
      <c r="BC69" s="8"/>
      <c r="BD69" s="8"/>
      <c r="BE69" s="8"/>
      <c r="BF69" s="8"/>
      <c r="BG69" s="8"/>
      <c r="BH69" s="8">
        <v>1</v>
      </c>
      <c r="BI69" s="8"/>
      <c r="BJ69" s="8">
        <v>18</v>
      </c>
      <c r="BK69" s="8"/>
      <c r="BL69" s="8">
        <v>3</v>
      </c>
      <c r="BM69" s="8"/>
      <c r="BN69" s="8"/>
      <c r="BO69" s="8"/>
      <c r="BP69" s="8"/>
      <c r="BQ69" s="8">
        <v>13</v>
      </c>
      <c r="BR69" s="8"/>
      <c r="BS69" s="8">
        <v>10</v>
      </c>
      <c r="BT69" s="8"/>
      <c r="BU69" s="8"/>
      <c r="BV69" s="8"/>
      <c r="BW69" s="8"/>
      <c r="BX69" s="8"/>
    </row>
    <row r="70" spans="1:76" ht="16.5" customHeight="1" x14ac:dyDescent="0.3">
      <c r="A70" t="s">
        <v>573</v>
      </c>
      <c r="B70" t="s">
        <v>656</v>
      </c>
      <c r="C70" t="s">
        <v>657</v>
      </c>
      <c r="D70" t="s">
        <v>685</v>
      </c>
      <c r="E70" t="s">
        <v>687</v>
      </c>
      <c r="F70" t="s">
        <v>687</v>
      </c>
      <c r="G70" s="5">
        <v>1494880</v>
      </c>
      <c r="H70" s="7" t="s">
        <v>304</v>
      </c>
      <c r="I70" s="5" t="s">
        <v>253</v>
      </c>
      <c r="J70" s="5">
        <v>2</v>
      </c>
      <c r="K70" s="5" t="s">
        <v>102</v>
      </c>
      <c r="L70" s="5" t="s">
        <v>109</v>
      </c>
      <c r="M70" s="5" t="s">
        <v>94</v>
      </c>
      <c r="N70" s="5" t="s">
        <v>283</v>
      </c>
      <c r="O70" s="4"/>
      <c r="P70" s="24">
        <f t="shared" si="12"/>
        <v>15</v>
      </c>
      <c r="Q70" s="8">
        <f t="shared" si="13"/>
        <v>0</v>
      </c>
      <c r="R70" s="8">
        <f t="shared" si="14"/>
        <v>15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>
        <v>1</v>
      </c>
      <c r="AJ70" s="8"/>
      <c r="AK70" s="8"/>
      <c r="AL70" s="8"/>
      <c r="AM70" s="8"/>
      <c r="AN70" s="8"/>
      <c r="AO70" s="8"/>
      <c r="AP70" s="8">
        <v>2</v>
      </c>
      <c r="AQ70" s="8"/>
      <c r="AR70" s="8"/>
      <c r="AS70" s="8"/>
      <c r="AT70" s="8"/>
      <c r="AU70" s="8"/>
      <c r="AV70" s="8"/>
      <c r="AW70" s="8"/>
      <c r="AX70" s="8"/>
      <c r="AY70" s="8">
        <v>3</v>
      </c>
      <c r="AZ70" s="8"/>
      <c r="BA70" s="8"/>
      <c r="BB70" s="8"/>
      <c r="BC70" s="8"/>
      <c r="BD70" s="8"/>
      <c r="BE70" s="8"/>
      <c r="BF70" s="8"/>
      <c r="BG70" s="8"/>
      <c r="BH70" s="8">
        <v>1</v>
      </c>
      <c r="BI70" s="8"/>
      <c r="BJ70" s="8">
        <v>2</v>
      </c>
      <c r="BK70" s="8"/>
      <c r="BL70" s="8">
        <v>1</v>
      </c>
      <c r="BM70" s="8"/>
      <c r="BN70" s="8"/>
      <c r="BO70" s="8"/>
      <c r="BP70" s="8"/>
      <c r="BQ70" s="8">
        <v>4</v>
      </c>
      <c r="BR70" s="8"/>
      <c r="BS70" s="8">
        <v>1</v>
      </c>
      <c r="BT70" s="8"/>
      <c r="BU70" s="8"/>
      <c r="BV70" s="8"/>
      <c r="BW70" s="8"/>
      <c r="BX70" s="8"/>
    </row>
    <row r="71" spans="1:76" ht="16.5" customHeight="1" x14ac:dyDescent="0.3">
      <c r="A71" t="s">
        <v>573</v>
      </c>
      <c r="B71" t="s">
        <v>656</v>
      </c>
      <c r="C71" t="s">
        <v>657</v>
      </c>
      <c r="D71" t="s">
        <v>685</v>
      </c>
      <c r="E71" t="s">
        <v>665</v>
      </c>
      <c r="F71" t="s">
        <v>665</v>
      </c>
      <c r="G71" s="5">
        <v>1494767</v>
      </c>
      <c r="H71" s="7" t="s">
        <v>284</v>
      </c>
      <c r="I71" s="5" t="s">
        <v>253</v>
      </c>
      <c r="J71" s="5">
        <v>2</v>
      </c>
      <c r="K71" s="5" t="s">
        <v>102</v>
      </c>
      <c r="L71" s="5" t="s">
        <v>109</v>
      </c>
      <c r="M71" s="5" t="s">
        <v>94</v>
      </c>
      <c r="N71" s="5" t="s">
        <v>285</v>
      </c>
      <c r="O71" s="4"/>
      <c r="P71" s="24">
        <f t="shared" si="12"/>
        <v>7</v>
      </c>
      <c r="Q71" s="8">
        <f t="shared" si="13"/>
        <v>0</v>
      </c>
      <c r="R71" s="8">
        <f t="shared" si="14"/>
        <v>7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>
        <v>1</v>
      </c>
      <c r="AK71" s="8"/>
      <c r="AL71" s="8"/>
      <c r="AM71" s="8"/>
      <c r="AN71" s="8">
        <v>1</v>
      </c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>
        <v>1</v>
      </c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>
        <v>1</v>
      </c>
      <c r="BK71" s="8"/>
      <c r="BL71" s="8">
        <v>1</v>
      </c>
      <c r="BM71" s="8"/>
      <c r="BN71" s="8"/>
      <c r="BO71" s="8"/>
      <c r="BP71" s="8"/>
      <c r="BQ71" s="8">
        <v>2</v>
      </c>
      <c r="BR71" s="8"/>
      <c r="BS71" s="8"/>
      <c r="BT71" s="8"/>
      <c r="BU71" s="8"/>
      <c r="BV71" s="8"/>
      <c r="BW71" s="8"/>
      <c r="BX71" s="8"/>
    </row>
    <row r="72" spans="1:76" ht="16.5" customHeight="1" x14ac:dyDescent="0.3">
      <c r="A72" t="s">
        <v>573</v>
      </c>
      <c r="B72" t="s">
        <v>656</v>
      </c>
      <c r="C72" t="s">
        <v>657</v>
      </c>
      <c r="D72" t="s">
        <v>685</v>
      </c>
      <c r="E72" t="s">
        <v>666</v>
      </c>
      <c r="F72" t="s">
        <v>666</v>
      </c>
      <c r="G72" s="5">
        <v>1494768</v>
      </c>
      <c r="H72" s="7" t="s">
        <v>286</v>
      </c>
      <c r="I72" s="5" t="s">
        <v>253</v>
      </c>
      <c r="J72" s="5">
        <v>2</v>
      </c>
      <c r="K72" s="5" t="s">
        <v>102</v>
      </c>
      <c r="L72" s="5" t="s">
        <v>109</v>
      </c>
      <c r="M72" s="5" t="s">
        <v>94</v>
      </c>
      <c r="N72" s="5" t="s">
        <v>285</v>
      </c>
      <c r="O72" s="4"/>
      <c r="P72" s="24">
        <f t="shared" si="12"/>
        <v>18</v>
      </c>
      <c r="Q72" s="8">
        <f t="shared" si="13"/>
        <v>0</v>
      </c>
      <c r="R72" s="8">
        <f t="shared" si="14"/>
        <v>18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>
        <v>1</v>
      </c>
      <c r="AK72" s="8"/>
      <c r="AL72" s="8"/>
      <c r="AM72" s="8"/>
      <c r="AN72" s="8">
        <v>2</v>
      </c>
      <c r="AO72" s="8"/>
      <c r="AP72" s="8"/>
      <c r="AQ72" s="8"/>
      <c r="AR72" s="8"/>
      <c r="AS72" s="8"/>
      <c r="AT72" s="8"/>
      <c r="AU72" s="8"/>
      <c r="AV72" s="8"/>
      <c r="AW72" s="8">
        <v>2</v>
      </c>
      <c r="AX72" s="8"/>
      <c r="AY72" s="8">
        <v>2</v>
      </c>
      <c r="AZ72" s="8"/>
      <c r="BA72" s="8"/>
      <c r="BB72" s="8"/>
      <c r="BC72" s="8">
        <v>1</v>
      </c>
      <c r="BD72" s="8"/>
      <c r="BE72" s="8"/>
      <c r="BF72" s="8"/>
      <c r="BG72" s="8"/>
      <c r="BH72" s="8">
        <v>1</v>
      </c>
      <c r="BI72" s="8"/>
      <c r="BJ72" s="8">
        <v>1</v>
      </c>
      <c r="BK72" s="8"/>
      <c r="BL72" s="8">
        <v>2</v>
      </c>
      <c r="BM72" s="8"/>
      <c r="BN72" s="8"/>
      <c r="BO72" s="8"/>
      <c r="BP72" s="8"/>
      <c r="BQ72" s="8">
        <v>2</v>
      </c>
      <c r="BR72" s="8"/>
      <c r="BS72" s="8">
        <v>1</v>
      </c>
      <c r="BT72" s="8">
        <v>1</v>
      </c>
      <c r="BU72" s="8">
        <v>1</v>
      </c>
      <c r="BV72" s="8">
        <v>1</v>
      </c>
      <c r="BW72" s="8"/>
      <c r="BX72" s="8"/>
    </row>
    <row r="73" spans="1:76" ht="16.5" customHeight="1" x14ac:dyDescent="0.3">
      <c r="A73" t="s">
        <v>573</v>
      </c>
      <c r="B73" t="s">
        <v>656</v>
      </c>
      <c r="C73" t="s">
        <v>657</v>
      </c>
      <c r="D73" t="s">
        <v>685</v>
      </c>
      <c r="E73" t="s">
        <v>670</v>
      </c>
      <c r="F73" t="s">
        <v>670</v>
      </c>
      <c r="G73" s="5">
        <v>1495133</v>
      </c>
      <c r="H73" s="7" t="s">
        <v>288</v>
      </c>
      <c r="I73" s="5" t="s">
        <v>253</v>
      </c>
      <c r="J73" s="5">
        <v>2</v>
      </c>
      <c r="K73" s="5" t="s">
        <v>102</v>
      </c>
      <c r="L73" s="5" t="s">
        <v>109</v>
      </c>
      <c r="M73" s="5" t="s">
        <v>94</v>
      </c>
      <c r="N73" s="5" t="s">
        <v>285</v>
      </c>
      <c r="O73" s="4"/>
      <c r="P73" s="24">
        <f t="shared" si="12"/>
        <v>25</v>
      </c>
      <c r="Q73" s="8">
        <f t="shared" si="13"/>
        <v>0</v>
      </c>
      <c r="R73" s="8">
        <f t="shared" si="14"/>
        <v>25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>
        <v>1</v>
      </c>
      <c r="AF73" s="8"/>
      <c r="AG73" s="8"/>
      <c r="AH73" s="8"/>
      <c r="AI73" s="8">
        <v>1</v>
      </c>
      <c r="AJ73" s="8"/>
      <c r="AK73" s="8"/>
      <c r="AL73" s="8"/>
      <c r="AM73" s="8"/>
      <c r="AN73" s="8">
        <v>8</v>
      </c>
      <c r="AO73" s="8"/>
      <c r="AP73" s="8"/>
      <c r="AQ73" s="8"/>
      <c r="AR73" s="8"/>
      <c r="AS73" s="8"/>
      <c r="AT73" s="8"/>
      <c r="AU73" s="8"/>
      <c r="AV73" s="8"/>
      <c r="AW73" s="8">
        <v>11</v>
      </c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>
        <v>3</v>
      </c>
      <c r="BI73" s="8"/>
      <c r="BJ73" s="8"/>
      <c r="BK73" s="8"/>
      <c r="BL73" s="8"/>
      <c r="BM73" s="8"/>
      <c r="BN73" s="8"/>
      <c r="BO73" s="8">
        <v>1</v>
      </c>
      <c r="BP73" s="8"/>
      <c r="BQ73" s="8"/>
      <c r="BR73" s="8"/>
      <c r="BS73" s="8"/>
      <c r="BT73" s="8"/>
      <c r="BU73" s="8"/>
      <c r="BV73" s="8"/>
      <c r="BW73" s="8"/>
      <c r="BX73" s="8"/>
    </row>
    <row r="74" spans="1:76" ht="16.5" customHeight="1" x14ac:dyDescent="0.3">
      <c r="A74" t="s">
        <v>573</v>
      </c>
      <c r="B74" t="s">
        <v>656</v>
      </c>
      <c r="C74" t="s">
        <v>657</v>
      </c>
      <c r="D74" t="s">
        <v>685</v>
      </c>
      <c r="E74" t="s">
        <v>671</v>
      </c>
      <c r="F74" t="s">
        <v>671</v>
      </c>
      <c r="G74" s="5">
        <v>1495169</v>
      </c>
      <c r="H74" s="7" t="s">
        <v>289</v>
      </c>
      <c r="I74" s="5" t="s">
        <v>253</v>
      </c>
      <c r="J74" s="5">
        <v>2</v>
      </c>
      <c r="K74" s="5" t="s">
        <v>102</v>
      </c>
      <c r="L74" s="5" t="s">
        <v>109</v>
      </c>
      <c r="M74" s="5" t="s">
        <v>94</v>
      </c>
      <c r="N74" s="5" t="s">
        <v>285</v>
      </c>
      <c r="O74" s="4"/>
      <c r="P74" s="24">
        <f t="shared" si="12"/>
        <v>20</v>
      </c>
      <c r="Q74" s="8">
        <f t="shared" si="13"/>
        <v>0</v>
      </c>
      <c r="R74" s="8">
        <f t="shared" si="14"/>
        <v>20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>
        <v>1</v>
      </c>
      <c r="AJ74" s="8"/>
      <c r="AK74" s="8"/>
      <c r="AL74" s="8"/>
      <c r="AM74" s="8"/>
      <c r="AN74" s="8">
        <v>7</v>
      </c>
      <c r="AO74" s="8"/>
      <c r="AP74" s="8"/>
      <c r="AQ74" s="8"/>
      <c r="AR74" s="8"/>
      <c r="AS74" s="8"/>
      <c r="AT74" s="8"/>
      <c r="AU74" s="8"/>
      <c r="AV74" s="8"/>
      <c r="AW74" s="8">
        <v>9</v>
      </c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>
        <v>2</v>
      </c>
      <c r="BI74" s="8"/>
      <c r="BJ74" s="8"/>
      <c r="BK74" s="8"/>
      <c r="BL74" s="8"/>
      <c r="BM74" s="8"/>
      <c r="BN74" s="8"/>
      <c r="BO74" s="8">
        <v>1</v>
      </c>
      <c r="BP74" s="8"/>
      <c r="BQ74" s="8"/>
      <c r="BR74" s="8"/>
      <c r="BS74" s="8"/>
      <c r="BT74" s="8"/>
      <c r="BU74" s="8"/>
      <c r="BV74" s="8"/>
      <c r="BW74" s="8"/>
      <c r="BX74" s="8"/>
    </row>
    <row r="75" spans="1:76" ht="16.5" customHeight="1" x14ac:dyDescent="0.3">
      <c r="A75" t="s">
        <v>573</v>
      </c>
      <c r="B75" t="s">
        <v>656</v>
      </c>
      <c r="C75" t="s">
        <v>657</v>
      </c>
      <c r="D75" t="s">
        <v>685</v>
      </c>
      <c r="E75" t="s">
        <v>672</v>
      </c>
      <c r="F75" t="s">
        <v>672</v>
      </c>
      <c r="G75" s="5">
        <v>1495200</v>
      </c>
      <c r="H75" s="7" t="s">
        <v>290</v>
      </c>
      <c r="I75" s="5" t="s">
        <v>253</v>
      </c>
      <c r="J75" s="5">
        <v>2</v>
      </c>
      <c r="K75" s="5" t="s">
        <v>102</v>
      </c>
      <c r="L75" s="5" t="s">
        <v>109</v>
      </c>
      <c r="M75" s="5" t="s">
        <v>94</v>
      </c>
      <c r="N75" s="5" t="s">
        <v>285</v>
      </c>
      <c r="O75" s="4"/>
      <c r="P75" s="24">
        <f t="shared" si="12"/>
        <v>19</v>
      </c>
      <c r="Q75" s="8">
        <f t="shared" si="13"/>
        <v>0</v>
      </c>
      <c r="R75" s="8">
        <f t="shared" si="14"/>
        <v>19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>
        <v>8</v>
      </c>
      <c r="AO75" s="8"/>
      <c r="AP75" s="8"/>
      <c r="AQ75" s="8"/>
      <c r="AR75" s="8"/>
      <c r="AS75" s="8"/>
      <c r="AT75" s="8"/>
      <c r="AU75" s="8"/>
      <c r="AV75" s="8"/>
      <c r="AW75" s="8">
        <v>8</v>
      </c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>
        <v>2</v>
      </c>
      <c r="BI75" s="8"/>
      <c r="BJ75" s="8"/>
      <c r="BK75" s="8"/>
      <c r="BL75" s="8"/>
      <c r="BM75" s="8"/>
      <c r="BN75" s="8"/>
      <c r="BO75" s="8">
        <v>1</v>
      </c>
      <c r="BP75" s="8"/>
      <c r="BQ75" s="8"/>
      <c r="BR75" s="8"/>
      <c r="BS75" s="8"/>
      <c r="BT75" s="8"/>
      <c r="BU75" s="8"/>
      <c r="BV75" s="8"/>
      <c r="BW75" s="8"/>
      <c r="BX75" s="8"/>
    </row>
    <row r="76" spans="1:76" ht="16.5" customHeight="1" x14ac:dyDescent="0.3">
      <c r="A76" t="s">
        <v>573</v>
      </c>
      <c r="B76" t="s">
        <v>656</v>
      </c>
      <c r="C76" t="s">
        <v>657</v>
      </c>
      <c r="D76" t="s">
        <v>685</v>
      </c>
      <c r="E76" t="s">
        <v>679</v>
      </c>
      <c r="F76" t="s">
        <v>679</v>
      </c>
      <c r="G76" s="5">
        <v>1495227</v>
      </c>
      <c r="H76" s="7" t="s">
        <v>291</v>
      </c>
      <c r="I76" s="5" t="s">
        <v>253</v>
      </c>
      <c r="J76" s="5">
        <v>2</v>
      </c>
      <c r="K76" s="5" t="s">
        <v>102</v>
      </c>
      <c r="L76" s="5" t="s">
        <v>109</v>
      </c>
      <c r="M76" s="5" t="s">
        <v>94</v>
      </c>
      <c r="N76" s="5" t="s">
        <v>285</v>
      </c>
      <c r="O76" s="4"/>
      <c r="P76" s="24">
        <f t="shared" si="12"/>
        <v>10</v>
      </c>
      <c r="Q76" s="8">
        <f t="shared" si="13"/>
        <v>0</v>
      </c>
      <c r="R76" s="8">
        <f t="shared" si="14"/>
        <v>10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>
        <v>1</v>
      </c>
      <c r="AJ76" s="8"/>
      <c r="AK76" s="8"/>
      <c r="AL76" s="8"/>
      <c r="AM76" s="8"/>
      <c r="AN76" s="8">
        <v>4</v>
      </c>
      <c r="AO76" s="8"/>
      <c r="AP76" s="8"/>
      <c r="AQ76" s="8"/>
      <c r="AR76" s="8"/>
      <c r="AS76" s="8"/>
      <c r="AT76" s="8"/>
      <c r="AU76" s="8"/>
      <c r="AV76" s="8"/>
      <c r="AW76" s="8">
        <v>4</v>
      </c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>
        <v>1</v>
      </c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</row>
    <row r="77" spans="1:76" ht="16.5" customHeight="1" x14ac:dyDescent="0.3">
      <c r="A77" t="s">
        <v>573</v>
      </c>
      <c r="B77" t="s">
        <v>656</v>
      </c>
      <c r="C77" t="s">
        <v>657</v>
      </c>
      <c r="D77" t="s">
        <v>685</v>
      </c>
      <c r="E77" t="s">
        <v>675</v>
      </c>
      <c r="F77" t="s">
        <v>675</v>
      </c>
      <c r="G77" s="5">
        <v>1495248</v>
      </c>
      <c r="H77" s="7" t="s">
        <v>297</v>
      </c>
      <c r="I77" s="5" t="s">
        <v>253</v>
      </c>
      <c r="J77" s="5">
        <v>2</v>
      </c>
      <c r="K77" s="5" t="s">
        <v>102</v>
      </c>
      <c r="L77" s="5" t="s">
        <v>109</v>
      </c>
      <c r="M77" s="5" t="s">
        <v>94</v>
      </c>
      <c r="N77" s="5" t="s">
        <v>285</v>
      </c>
      <c r="O77" s="4"/>
      <c r="P77" s="24">
        <f t="shared" si="12"/>
        <v>5</v>
      </c>
      <c r="Q77" s="8">
        <f t="shared" si="13"/>
        <v>0</v>
      </c>
      <c r="R77" s="8">
        <f t="shared" si="14"/>
        <v>5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>
        <v>1</v>
      </c>
      <c r="AL77" s="8"/>
      <c r="AM77" s="8"/>
      <c r="AN77" s="8"/>
      <c r="AO77" s="8"/>
      <c r="AP77" s="8"/>
      <c r="AQ77" s="8">
        <v>2</v>
      </c>
      <c r="AR77" s="8"/>
      <c r="AS77" s="8"/>
      <c r="AT77" s="8"/>
      <c r="AU77" s="8"/>
      <c r="AV77" s="8"/>
      <c r="AW77" s="8"/>
      <c r="AX77" s="8"/>
      <c r="AY77" s="8"/>
      <c r="AZ77" s="8">
        <v>2</v>
      </c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</row>
    <row r="78" spans="1:76" ht="16.5" customHeight="1" x14ac:dyDescent="0.3">
      <c r="A78" t="s">
        <v>573</v>
      </c>
      <c r="B78" t="s">
        <v>656</v>
      </c>
      <c r="C78" t="s">
        <v>657</v>
      </c>
      <c r="D78" t="s">
        <v>685</v>
      </c>
      <c r="E78" t="s">
        <v>676</v>
      </c>
      <c r="F78" t="s">
        <v>676</v>
      </c>
      <c r="G78" s="5">
        <v>1495265</v>
      </c>
      <c r="H78" s="7" t="s">
        <v>292</v>
      </c>
      <c r="I78" s="5" t="s">
        <v>253</v>
      </c>
      <c r="J78" s="5">
        <v>2</v>
      </c>
      <c r="K78" s="5" t="s">
        <v>102</v>
      </c>
      <c r="L78" s="5" t="s">
        <v>109</v>
      </c>
      <c r="M78" s="5" t="s">
        <v>94</v>
      </c>
      <c r="N78" s="5" t="s">
        <v>285</v>
      </c>
      <c r="O78" s="4"/>
      <c r="P78" s="24">
        <f t="shared" si="12"/>
        <v>15</v>
      </c>
      <c r="Q78" s="8">
        <f t="shared" si="13"/>
        <v>0</v>
      </c>
      <c r="R78" s="8">
        <f t="shared" si="14"/>
        <v>15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>
        <v>1</v>
      </c>
      <c r="AK78" s="8"/>
      <c r="AL78" s="8"/>
      <c r="AM78" s="8"/>
      <c r="AN78" s="8"/>
      <c r="AO78" s="8"/>
      <c r="AP78" s="8"/>
      <c r="AQ78" s="8">
        <v>5</v>
      </c>
      <c r="AR78" s="8"/>
      <c r="AS78" s="8"/>
      <c r="AT78" s="8"/>
      <c r="AU78" s="8">
        <v>2</v>
      </c>
      <c r="AV78" s="8">
        <v>1</v>
      </c>
      <c r="AW78" s="8"/>
      <c r="AX78" s="8"/>
      <c r="AY78" s="8"/>
      <c r="AZ78" s="8">
        <v>3</v>
      </c>
      <c r="BA78" s="8"/>
      <c r="BB78" s="8"/>
      <c r="BC78" s="8"/>
      <c r="BD78" s="8">
        <v>2</v>
      </c>
      <c r="BE78" s="8"/>
      <c r="BF78" s="8"/>
      <c r="BG78" s="8"/>
      <c r="BH78" s="8">
        <v>1</v>
      </c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</row>
    <row r="79" spans="1:76" ht="16.5" customHeight="1" x14ac:dyDescent="0.3">
      <c r="G79" s="14">
        <v>1493996</v>
      </c>
      <c r="H79" s="15" t="s">
        <v>305</v>
      </c>
      <c r="I79" s="14" t="s">
        <v>253</v>
      </c>
      <c r="J79" s="14">
        <v>2</v>
      </c>
      <c r="K79" s="14" t="s">
        <v>254</v>
      </c>
      <c r="L79" s="14" t="s">
        <v>255</v>
      </c>
      <c r="M79" s="14" t="s">
        <v>94</v>
      </c>
      <c r="N79" s="14" t="s">
        <v>110</v>
      </c>
      <c r="O79" s="13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</row>
    <row r="80" spans="1:76" ht="16.5" customHeight="1" x14ac:dyDescent="0.3">
      <c r="A80" t="s">
        <v>573</v>
      </c>
      <c r="B80" t="s">
        <v>656</v>
      </c>
      <c r="C80" t="s">
        <v>657</v>
      </c>
      <c r="D80" t="s">
        <v>688</v>
      </c>
      <c r="E80" t="s">
        <v>688</v>
      </c>
      <c r="F80" t="s">
        <v>688</v>
      </c>
      <c r="G80" s="5">
        <v>1493996</v>
      </c>
      <c r="H80" s="38" t="s">
        <v>306</v>
      </c>
      <c r="I80" s="5" t="s">
        <v>253</v>
      </c>
      <c r="J80" s="5">
        <v>2</v>
      </c>
      <c r="K80" s="5" t="s">
        <v>254</v>
      </c>
      <c r="L80" s="5" t="s">
        <v>255</v>
      </c>
      <c r="M80" s="5" t="s">
        <v>94</v>
      </c>
      <c r="N80" s="5" t="s">
        <v>110</v>
      </c>
      <c r="O80" s="4"/>
      <c r="P80" s="24">
        <f t="shared" ref="P80:P89" si="15">SUM(Q80,R80)</f>
        <v>1</v>
      </c>
      <c r="Q80" s="8">
        <f t="shared" ref="Q80:Q89" si="16">S80</f>
        <v>0</v>
      </c>
      <c r="R80" s="8">
        <f t="shared" ref="R80:R89" si="17">SUM(T80:BX80)</f>
        <v>1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>
        <v>1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</row>
    <row r="81" spans="1:76" ht="16.5" customHeight="1" x14ac:dyDescent="0.3">
      <c r="A81" t="s">
        <v>573</v>
      </c>
      <c r="B81" t="s">
        <v>656</v>
      </c>
      <c r="C81" t="s">
        <v>657</v>
      </c>
      <c r="D81" t="s">
        <v>688</v>
      </c>
      <c r="E81" t="s">
        <v>689</v>
      </c>
      <c r="F81" t="s">
        <v>689</v>
      </c>
      <c r="G81" s="5">
        <v>1493997</v>
      </c>
      <c r="H81" s="7" t="s">
        <v>307</v>
      </c>
      <c r="I81" s="5" t="s">
        <v>253</v>
      </c>
      <c r="J81" s="5">
        <v>2</v>
      </c>
      <c r="K81" s="5" t="s">
        <v>102</v>
      </c>
      <c r="L81" s="5" t="s">
        <v>109</v>
      </c>
      <c r="M81" s="5" t="s">
        <v>94</v>
      </c>
      <c r="N81" s="5" t="s">
        <v>283</v>
      </c>
      <c r="O81" s="4"/>
      <c r="P81" s="24">
        <f t="shared" si="15"/>
        <v>61</v>
      </c>
      <c r="Q81" s="8">
        <f t="shared" si="16"/>
        <v>0</v>
      </c>
      <c r="R81" s="8">
        <f t="shared" si="17"/>
        <v>61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>
        <v>1</v>
      </c>
      <c r="AF81" s="8"/>
      <c r="AG81" s="8"/>
      <c r="AH81" s="8"/>
      <c r="AI81" s="8"/>
      <c r="AJ81" s="8"/>
      <c r="AK81" s="8"/>
      <c r="AL81" s="8"/>
      <c r="AM81" s="8"/>
      <c r="AN81" s="8">
        <v>1</v>
      </c>
      <c r="AO81" s="8"/>
      <c r="AP81" s="8">
        <v>5</v>
      </c>
      <c r="AQ81" s="8"/>
      <c r="AR81" s="8"/>
      <c r="AS81" s="8"/>
      <c r="AT81" s="8"/>
      <c r="AU81" s="8"/>
      <c r="AV81" s="8"/>
      <c r="AW81" s="8">
        <v>2</v>
      </c>
      <c r="AX81" s="8"/>
      <c r="AY81" s="8">
        <v>10</v>
      </c>
      <c r="AZ81" s="8"/>
      <c r="BA81" s="8"/>
      <c r="BB81" s="8"/>
      <c r="BC81" s="8">
        <v>1</v>
      </c>
      <c r="BD81" s="8"/>
      <c r="BE81" s="8"/>
      <c r="BF81" s="8"/>
      <c r="BG81" s="8"/>
      <c r="BH81" s="8">
        <v>1</v>
      </c>
      <c r="BI81" s="8"/>
      <c r="BJ81" s="8">
        <v>14</v>
      </c>
      <c r="BK81" s="8">
        <v>1</v>
      </c>
      <c r="BL81" s="8">
        <v>4</v>
      </c>
      <c r="BM81" s="8"/>
      <c r="BN81" s="8"/>
      <c r="BO81" s="8"/>
      <c r="BP81" s="8"/>
      <c r="BQ81" s="8">
        <v>13</v>
      </c>
      <c r="BR81" s="8"/>
      <c r="BS81" s="8">
        <v>8</v>
      </c>
      <c r="BT81" s="8"/>
      <c r="BU81" s="8"/>
      <c r="BV81" s="8"/>
      <c r="BW81" s="8"/>
      <c r="BX81" s="8"/>
    </row>
    <row r="82" spans="1:76" ht="16.5" customHeight="1" x14ac:dyDescent="0.3">
      <c r="A82" t="s">
        <v>573</v>
      </c>
      <c r="B82" t="s">
        <v>656</v>
      </c>
      <c r="C82" t="s">
        <v>657</v>
      </c>
      <c r="D82" t="s">
        <v>688</v>
      </c>
      <c r="E82" t="s">
        <v>690</v>
      </c>
      <c r="F82" t="s">
        <v>690</v>
      </c>
      <c r="G82" s="5">
        <v>1492908</v>
      </c>
      <c r="H82" s="7" t="s">
        <v>308</v>
      </c>
      <c r="I82" s="5" t="s">
        <v>253</v>
      </c>
      <c r="J82" s="5">
        <v>2</v>
      </c>
      <c r="K82" s="5" t="s">
        <v>102</v>
      </c>
      <c r="L82" s="5" t="s">
        <v>109</v>
      </c>
      <c r="M82" s="5" t="s">
        <v>94</v>
      </c>
      <c r="N82" s="5" t="s">
        <v>283</v>
      </c>
      <c r="O82" s="4"/>
      <c r="P82" s="24">
        <f t="shared" si="15"/>
        <v>22</v>
      </c>
      <c r="Q82" s="8">
        <f t="shared" si="16"/>
        <v>0</v>
      </c>
      <c r="R82" s="8">
        <f t="shared" si="17"/>
        <v>22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>
        <v>1</v>
      </c>
      <c r="AK82" s="8"/>
      <c r="AL82" s="8"/>
      <c r="AM82" s="8"/>
      <c r="AN82" s="8"/>
      <c r="AO82" s="8"/>
      <c r="AP82" s="8">
        <v>2</v>
      </c>
      <c r="AQ82" s="8"/>
      <c r="AR82" s="8"/>
      <c r="AS82" s="8"/>
      <c r="AT82" s="8"/>
      <c r="AU82" s="8"/>
      <c r="AV82" s="8"/>
      <c r="AW82" s="8"/>
      <c r="AX82" s="8"/>
      <c r="AY82" s="8">
        <v>5</v>
      </c>
      <c r="AZ82" s="8"/>
      <c r="BA82" s="8"/>
      <c r="BB82" s="8"/>
      <c r="BC82" s="8"/>
      <c r="BD82" s="8"/>
      <c r="BE82" s="8"/>
      <c r="BF82" s="8"/>
      <c r="BG82" s="8"/>
      <c r="BH82" s="8">
        <v>1</v>
      </c>
      <c r="BI82" s="8"/>
      <c r="BJ82" s="8">
        <v>5</v>
      </c>
      <c r="BK82" s="8"/>
      <c r="BL82" s="8">
        <v>1</v>
      </c>
      <c r="BM82" s="8"/>
      <c r="BN82" s="8"/>
      <c r="BO82" s="8"/>
      <c r="BP82" s="8"/>
      <c r="BQ82" s="8">
        <v>5</v>
      </c>
      <c r="BR82" s="8"/>
      <c r="BS82" s="8">
        <v>2</v>
      </c>
      <c r="BT82" s="8"/>
      <c r="BU82" s="8"/>
      <c r="BV82" s="8"/>
      <c r="BW82" s="8"/>
      <c r="BX82" s="8"/>
    </row>
    <row r="83" spans="1:76" ht="16.5" customHeight="1" x14ac:dyDescent="0.3">
      <c r="A83" t="s">
        <v>573</v>
      </c>
      <c r="B83" t="s">
        <v>656</v>
      </c>
      <c r="C83" t="s">
        <v>657</v>
      </c>
      <c r="D83" t="s">
        <v>688</v>
      </c>
      <c r="E83" t="s">
        <v>665</v>
      </c>
      <c r="F83" t="s">
        <v>665</v>
      </c>
      <c r="G83" s="5">
        <v>1494770</v>
      </c>
      <c r="H83" s="7" t="s">
        <v>284</v>
      </c>
      <c r="I83" s="5" t="s">
        <v>253</v>
      </c>
      <c r="J83" s="5">
        <v>2</v>
      </c>
      <c r="K83" s="5" t="s">
        <v>102</v>
      </c>
      <c r="L83" s="5" t="s">
        <v>109</v>
      </c>
      <c r="M83" s="5" t="s">
        <v>94</v>
      </c>
      <c r="N83" s="5" t="s">
        <v>285</v>
      </c>
      <c r="O83" s="4"/>
      <c r="P83" s="24">
        <f t="shared" si="15"/>
        <v>6</v>
      </c>
      <c r="Q83" s="8">
        <f t="shared" si="16"/>
        <v>0</v>
      </c>
      <c r="R83" s="8">
        <f t="shared" si="17"/>
        <v>6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>
        <v>1</v>
      </c>
      <c r="AK83" s="8"/>
      <c r="AL83" s="8"/>
      <c r="AM83" s="8"/>
      <c r="AN83" s="8">
        <v>1</v>
      </c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>
        <v>1</v>
      </c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>
        <v>1</v>
      </c>
      <c r="BK83" s="8"/>
      <c r="BL83" s="8"/>
      <c r="BM83" s="8"/>
      <c r="BN83" s="8"/>
      <c r="BO83" s="8"/>
      <c r="BP83" s="8"/>
      <c r="BQ83" s="8">
        <v>1</v>
      </c>
      <c r="BR83" s="8"/>
      <c r="BS83" s="8">
        <v>1</v>
      </c>
      <c r="BT83" s="8"/>
      <c r="BU83" s="8"/>
      <c r="BV83" s="8"/>
      <c r="BW83" s="8"/>
      <c r="BX83" s="8"/>
    </row>
    <row r="84" spans="1:76" ht="16.5" customHeight="1" x14ac:dyDescent="0.3">
      <c r="A84" t="s">
        <v>573</v>
      </c>
      <c r="B84" t="s">
        <v>656</v>
      </c>
      <c r="C84" t="s">
        <v>657</v>
      </c>
      <c r="D84" t="s">
        <v>688</v>
      </c>
      <c r="E84" t="s">
        <v>666</v>
      </c>
      <c r="F84" t="s">
        <v>666</v>
      </c>
      <c r="G84" s="5">
        <v>1494771</v>
      </c>
      <c r="H84" s="7" t="s">
        <v>286</v>
      </c>
      <c r="I84" s="5" t="s">
        <v>253</v>
      </c>
      <c r="J84" s="5">
        <v>2</v>
      </c>
      <c r="K84" s="5" t="s">
        <v>102</v>
      </c>
      <c r="L84" s="5" t="s">
        <v>109</v>
      </c>
      <c r="M84" s="5" t="s">
        <v>94</v>
      </c>
      <c r="N84" s="5" t="s">
        <v>285</v>
      </c>
      <c r="O84" s="4"/>
      <c r="P84" s="24">
        <f t="shared" si="15"/>
        <v>16</v>
      </c>
      <c r="Q84" s="8">
        <f t="shared" si="16"/>
        <v>0</v>
      </c>
      <c r="R84" s="8">
        <f t="shared" si="17"/>
        <v>16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>
        <v>1</v>
      </c>
      <c r="AK84" s="8"/>
      <c r="AL84" s="8"/>
      <c r="AM84" s="8"/>
      <c r="AN84" s="8">
        <v>1</v>
      </c>
      <c r="AO84" s="8"/>
      <c r="AP84" s="8"/>
      <c r="AQ84" s="8"/>
      <c r="AR84" s="8"/>
      <c r="AS84" s="8"/>
      <c r="AT84" s="8"/>
      <c r="AU84" s="8"/>
      <c r="AV84" s="8"/>
      <c r="AW84" s="8">
        <v>2</v>
      </c>
      <c r="AX84" s="8"/>
      <c r="AY84" s="8">
        <v>1</v>
      </c>
      <c r="AZ84" s="8"/>
      <c r="BA84" s="8"/>
      <c r="BB84" s="8"/>
      <c r="BC84" s="8">
        <v>1</v>
      </c>
      <c r="BD84" s="8"/>
      <c r="BE84" s="8"/>
      <c r="BF84" s="8"/>
      <c r="BG84" s="8"/>
      <c r="BH84" s="8">
        <v>1</v>
      </c>
      <c r="BI84" s="8"/>
      <c r="BJ84" s="8">
        <v>1</v>
      </c>
      <c r="BK84" s="8"/>
      <c r="BL84" s="8">
        <v>2</v>
      </c>
      <c r="BM84" s="8"/>
      <c r="BN84" s="8"/>
      <c r="BO84" s="8"/>
      <c r="BP84" s="8"/>
      <c r="BQ84" s="8">
        <v>4</v>
      </c>
      <c r="BR84" s="8"/>
      <c r="BS84" s="8"/>
      <c r="BT84" s="8"/>
      <c r="BU84" s="8">
        <v>1</v>
      </c>
      <c r="BV84" s="8">
        <v>1</v>
      </c>
      <c r="BW84" s="8"/>
      <c r="BX84" s="8"/>
    </row>
    <row r="85" spans="1:76" ht="16.5" customHeight="1" x14ac:dyDescent="0.3">
      <c r="A85" t="s">
        <v>573</v>
      </c>
      <c r="B85" t="s">
        <v>656</v>
      </c>
      <c r="C85" t="s">
        <v>657</v>
      </c>
      <c r="D85" t="s">
        <v>688</v>
      </c>
      <c r="E85" t="s">
        <v>670</v>
      </c>
      <c r="F85" t="s">
        <v>670</v>
      </c>
      <c r="G85" s="5">
        <v>1495135</v>
      </c>
      <c r="H85" s="7" t="s">
        <v>288</v>
      </c>
      <c r="I85" s="5" t="s">
        <v>253</v>
      </c>
      <c r="J85" s="5">
        <v>2</v>
      </c>
      <c r="K85" s="5" t="s">
        <v>102</v>
      </c>
      <c r="L85" s="5" t="s">
        <v>109</v>
      </c>
      <c r="M85" s="5" t="s">
        <v>94</v>
      </c>
      <c r="N85" s="5" t="s">
        <v>285</v>
      </c>
      <c r="O85" s="4"/>
      <c r="P85" s="24">
        <f t="shared" si="15"/>
        <v>20</v>
      </c>
      <c r="Q85" s="8">
        <f t="shared" si="16"/>
        <v>0</v>
      </c>
      <c r="R85" s="8">
        <f t="shared" si="17"/>
        <v>20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>
        <v>2</v>
      </c>
      <c r="AJ85" s="8"/>
      <c r="AK85" s="8"/>
      <c r="AL85" s="8"/>
      <c r="AM85" s="8"/>
      <c r="AN85" s="8">
        <v>6</v>
      </c>
      <c r="AO85" s="8"/>
      <c r="AP85" s="8"/>
      <c r="AQ85" s="8"/>
      <c r="AR85" s="8"/>
      <c r="AS85" s="8"/>
      <c r="AT85" s="8"/>
      <c r="AU85" s="8"/>
      <c r="AV85" s="8"/>
      <c r="AW85" s="8">
        <v>9</v>
      </c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>
        <v>2</v>
      </c>
      <c r="BI85" s="8"/>
      <c r="BJ85" s="8"/>
      <c r="BK85" s="8"/>
      <c r="BL85" s="8"/>
      <c r="BM85" s="8"/>
      <c r="BN85" s="8"/>
      <c r="BO85" s="8">
        <v>1</v>
      </c>
      <c r="BP85" s="8"/>
      <c r="BQ85" s="8"/>
      <c r="BR85" s="8"/>
      <c r="BS85" s="8"/>
      <c r="BT85" s="8"/>
      <c r="BU85" s="8"/>
      <c r="BV85" s="8"/>
      <c r="BW85" s="8"/>
      <c r="BX85" s="8"/>
    </row>
    <row r="86" spans="1:76" ht="16.5" customHeight="1" x14ac:dyDescent="0.3">
      <c r="A86" t="s">
        <v>573</v>
      </c>
      <c r="B86" t="s">
        <v>656</v>
      </c>
      <c r="C86" t="s">
        <v>657</v>
      </c>
      <c r="D86" t="s">
        <v>688</v>
      </c>
      <c r="E86" t="s">
        <v>671</v>
      </c>
      <c r="F86" t="s">
        <v>671</v>
      </c>
      <c r="G86" s="5">
        <v>1495171</v>
      </c>
      <c r="H86" s="7" t="s">
        <v>289</v>
      </c>
      <c r="I86" s="5" t="s">
        <v>253</v>
      </c>
      <c r="J86" s="5">
        <v>2</v>
      </c>
      <c r="K86" s="5" t="s">
        <v>102</v>
      </c>
      <c r="L86" s="5" t="s">
        <v>109</v>
      </c>
      <c r="M86" s="5" t="s">
        <v>94</v>
      </c>
      <c r="N86" s="5" t="s">
        <v>285</v>
      </c>
      <c r="O86" s="4"/>
      <c r="P86" s="24">
        <f t="shared" si="15"/>
        <v>12</v>
      </c>
      <c r="Q86" s="8">
        <f t="shared" si="16"/>
        <v>0</v>
      </c>
      <c r="R86" s="8">
        <f t="shared" si="17"/>
        <v>12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>
        <v>1</v>
      </c>
      <c r="AJ86" s="8"/>
      <c r="AK86" s="8"/>
      <c r="AL86" s="8"/>
      <c r="AM86" s="8"/>
      <c r="AN86" s="8">
        <v>4</v>
      </c>
      <c r="AO86" s="8"/>
      <c r="AP86" s="8"/>
      <c r="AQ86" s="8"/>
      <c r="AR86" s="8"/>
      <c r="AS86" s="8"/>
      <c r="AT86" s="8"/>
      <c r="AU86" s="8"/>
      <c r="AV86" s="8"/>
      <c r="AW86" s="8">
        <v>5</v>
      </c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>
        <v>1</v>
      </c>
      <c r="BI86" s="8"/>
      <c r="BJ86" s="8"/>
      <c r="BK86" s="8"/>
      <c r="BL86" s="8"/>
      <c r="BM86" s="8"/>
      <c r="BN86" s="8"/>
      <c r="BO86" s="8">
        <v>1</v>
      </c>
      <c r="BP86" s="8"/>
      <c r="BQ86" s="8"/>
      <c r="BR86" s="8"/>
      <c r="BS86" s="8"/>
      <c r="BT86" s="8"/>
      <c r="BU86" s="8"/>
      <c r="BV86" s="8"/>
      <c r="BW86" s="8"/>
      <c r="BX86" s="8"/>
    </row>
    <row r="87" spans="1:76" ht="16.5" customHeight="1" x14ac:dyDescent="0.3">
      <c r="A87" t="s">
        <v>573</v>
      </c>
      <c r="B87" t="s">
        <v>656</v>
      </c>
      <c r="C87" t="s">
        <v>657</v>
      </c>
      <c r="D87" t="s">
        <v>688</v>
      </c>
      <c r="E87" t="s">
        <v>672</v>
      </c>
      <c r="F87" t="s">
        <v>672</v>
      </c>
      <c r="G87" s="5">
        <v>1495202</v>
      </c>
      <c r="H87" s="7" t="s">
        <v>290</v>
      </c>
      <c r="I87" s="5" t="s">
        <v>253</v>
      </c>
      <c r="J87" s="5">
        <v>2</v>
      </c>
      <c r="K87" s="5" t="s">
        <v>102</v>
      </c>
      <c r="L87" s="5" t="s">
        <v>109</v>
      </c>
      <c r="M87" s="5" t="s">
        <v>94</v>
      </c>
      <c r="N87" s="5" t="s">
        <v>285</v>
      </c>
      <c r="O87" s="4"/>
      <c r="P87" s="24">
        <f t="shared" si="15"/>
        <v>12</v>
      </c>
      <c r="Q87" s="8">
        <f t="shared" si="16"/>
        <v>0</v>
      </c>
      <c r="R87" s="8">
        <f t="shared" si="17"/>
        <v>12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>
        <v>5</v>
      </c>
      <c r="AO87" s="8"/>
      <c r="AP87" s="8"/>
      <c r="AQ87" s="8"/>
      <c r="AR87" s="8"/>
      <c r="AS87" s="8"/>
      <c r="AT87" s="8"/>
      <c r="AU87" s="8"/>
      <c r="AV87" s="8"/>
      <c r="AW87" s="8">
        <v>5</v>
      </c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>
        <v>1</v>
      </c>
      <c r="BI87" s="8"/>
      <c r="BJ87" s="8"/>
      <c r="BK87" s="8"/>
      <c r="BL87" s="8"/>
      <c r="BM87" s="8"/>
      <c r="BN87" s="8"/>
      <c r="BO87" s="8">
        <v>1</v>
      </c>
      <c r="BP87" s="8"/>
      <c r="BQ87" s="8"/>
      <c r="BR87" s="8"/>
      <c r="BS87" s="8"/>
      <c r="BT87" s="8"/>
      <c r="BU87" s="8"/>
      <c r="BV87" s="8"/>
      <c r="BW87" s="8"/>
      <c r="BX87" s="8"/>
    </row>
    <row r="88" spans="1:76" ht="16.5" customHeight="1" x14ac:dyDescent="0.3">
      <c r="A88" t="s">
        <v>573</v>
      </c>
      <c r="B88" t="s">
        <v>656</v>
      </c>
      <c r="C88" t="s">
        <v>657</v>
      </c>
      <c r="D88" t="s">
        <v>688</v>
      </c>
      <c r="E88" t="s">
        <v>679</v>
      </c>
      <c r="F88" t="s">
        <v>679</v>
      </c>
      <c r="G88" s="5">
        <v>1495229</v>
      </c>
      <c r="H88" s="7" t="s">
        <v>291</v>
      </c>
      <c r="I88" s="5" t="s">
        <v>253</v>
      </c>
      <c r="J88" s="5">
        <v>2</v>
      </c>
      <c r="K88" s="5" t="s">
        <v>102</v>
      </c>
      <c r="L88" s="5" t="s">
        <v>109</v>
      </c>
      <c r="M88" s="5" t="s">
        <v>94</v>
      </c>
      <c r="N88" s="5" t="s">
        <v>285</v>
      </c>
      <c r="O88" s="4"/>
      <c r="P88" s="24">
        <f t="shared" si="15"/>
        <v>10</v>
      </c>
      <c r="Q88" s="8">
        <f t="shared" si="16"/>
        <v>0</v>
      </c>
      <c r="R88" s="8">
        <f t="shared" si="17"/>
        <v>10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>
        <v>1</v>
      </c>
      <c r="AJ88" s="8"/>
      <c r="AK88" s="8"/>
      <c r="AL88" s="8"/>
      <c r="AM88" s="8"/>
      <c r="AN88" s="8">
        <v>3</v>
      </c>
      <c r="AO88" s="8"/>
      <c r="AP88" s="8"/>
      <c r="AQ88" s="8"/>
      <c r="AR88" s="8"/>
      <c r="AS88" s="8"/>
      <c r="AT88" s="8"/>
      <c r="AU88" s="8"/>
      <c r="AV88" s="8"/>
      <c r="AW88" s="8">
        <v>5</v>
      </c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>
        <v>1</v>
      </c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</row>
    <row r="89" spans="1:76" ht="16.5" customHeight="1" x14ac:dyDescent="0.3">
      <c r="A89" t="s">
        <v>573</v>
      </c>
      <c r="B89" t="s">
        <v>656</v>
      </c>
      <c r="C89" t="s">
        <v>657</v>
      </c>
      <c r="D89" t="s">
        <v>688</v>
      </c>
      <c r="E89" t="s">
        <v>676</v>
      </c>
      <c r="F89" t="s">
        <v>676</v>
      </c>
      <c r="G89" s="5">
        <v>1495250</v>
      </c>
      <c r="H89" s="7" t="s">
        <v>292</v>
      </c>
      <c r="I89" s="5" t="s">
        <v>253</v>
      </c>
      <c r="J89" s="5">
        <v>2</v>
      </c>
      <c r="K89" s="5" t="s">
        <v>102</v>
      </c>
      <c r="L89" s="5" t="s">
        <v>109</v>
      </c>
      <c r="M89" s="5" t="s">
        <v>94</v>
      </c>
      <c r="N89" s="5" t="s">
        <v>285</v>
      </c>
      <c r="O89" s="4"/>
      <c r="P89" s="24">
        <f t="shared" si="15"/>
        <v>12</v>
      </c>
      <c r="Q89" s="8">
        <f t="shared" si="16"/>
        <v>0</v>
      </c>
      <c r="R89" s="8">
        <f t="shared" si="17"/>
        <v>12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>
        <v>1</v>
      </c>
      <c r="AK89" s="8"/>
      <c r="AL89" s="8"/>
      <c r="AM89" s="8"/>
      <c r="AN89" s="8"/>
      <c r="AO89" s="8"/>
      <c r="AP89" s="8"/>
      <c r="AQ89" s="8">
        <v>4</v>
      </c>
      <c r="AR89" s="8"/>
      <c r="AS89" s="8"/>
      <c r="AT89" s="8"/>
      <c r="AU89" s="8"/>
      <c r="AV89" s="8">
        <v>1</v>
      </c>
      <c r="AW89" s="8"/>
      <c r="AX89" s="8"/>
      <c r="AY89" s="8"/>
      <c r="AZ89" s="8">
        <v>3</v>
      </c>
      <c r="BA89" s="8"/>
      <c r="BB89" s="8"/>
      <c r="BC89" s="8"/>
      <c r="BD89" s="8">
        <v>2</v>
      </c>
      <c r="BE89" s="8"/>
      <c r="BF89" s="8"/>
      <c r="BG89" s="8"/>
      <c r="BH89" s="8">
        <v>1</v>
      </c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</row>
    <row r="90" spans="1:76" ht="16.5" customHeight="1" x14ac:dyDescent="0.3">
      <c r="G90" s="14">
        <v>1494005</v>
      </c>
      <c r="H90" s="15" t="s">
        <v>309</v>
      </c>
      <c r="I90" s="14" t="s">
        <v>253</v>
      </c>
      <c r="J90" s="14">
        <v>2</v>
      </c>
      <c r="K90" s="14" t="s">
        <v>254</v>
      </c>
      <c r="L90" s="14" t="s">
        <v>255</v>
      </c>
      <c r="M90" s="14" t="s">
        <v>94</v>
      </c>
      <c r="N90" s="14" t="s">
        <v>110</v>
      </c>
      <c r="O90" s="13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</row>
    <row r="91" spans="1:76" ht="16.5" customHeight="1" x14ac:dyDescent="0.3">
      <c r="A91" t="s">
        <v>573</v>
      </c>
      <c r="B91" t="s">
        <v>656</v>
      </c>
      <c r="C91" t="s">
        <v>657</v>
      </c>
      <c r="D91" t="s">
        <v>691</v>
      </c>
      <c r="E91" t="s">
        <v>691</v>
      </c>
      <c r="F91" t="s">
        <v>691</v>
      </c>
      <c r="G91" s="5">
        <v>1494005</v>
      </c>
      <c r="H91" s="38" t="s">
        <v>310</v>
      </c>
      <c r="I91" s="5" t="s">
        <v>253</v>
      </c>
      <c r="J91" s="5">
        <v>2</v>
      </c>
      <c r="K91" s="5" t="s">
        <v>254</v>
      </c>
      <c r="L91" s="5" t="s">
        <v>255</v>
      </c>
      <c r="M91" s="5" t="s">
        <v>94</v>
      </c>
      <c r="N91" s="5" t="s">
        <v>110</v>
      </c>
      <c r="O91" s="4"/>
      <c r="P91" s="24">
        <f t="shared" ref="P91:P99" si="18">SUM(Q91,R91)</f>
        <v>1</v>
      </c>
      <c r="Q91" s="8">
        <f t="shared" ref="Q91:Q99" si="19">S91</f>
        <v>0</v>
      </c>
      <c r="R91" s="8">
        <f t="shared" ref="R91:R99" si="20">SUM(T91:BX91)</f>
        <v>1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>
        <v>1</v>
      </c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</row>
    <row r="92" spans="1:76" ht="16.5" customHeight="1" x14ac:dyDescent="0.3">
      <c r="A92" t="s">
        <v>573</v>
      </c>
      <c r="B92" t="s">
        <v>656</v>
      </c>
      <c r="C92" t="s">
        <v>657</v>
      </c>
      <c r="D92" t="s">
        <v>691</v>
      </c>
      <c r="E92" t="s">
        <v>692</v>
      </c>
      <c r="F92" t="s">
        <v>692</v>
      </c>
      <c r="G92" s="5">
        <v>1494006</v>
      </c>
      <c r="H92" s="7" t="s">
        <v>311</v>
      </c>
      <c r="I92" s="5" t="s">
        <v>253</v>
      </c>
      <c r="J92" s="5">
        <v>2</v>
      </c>
      <c r="K92" s="5" t="s">
        <v>102</v>
      </c>
      <c r="L92" s="5" t="s">
        <v>109</v>
      </c>
      <c r="M92" s="5" t="s">
        <v>94</v>
      </c>
      <c r="N92" s="5" t="s">
        <v>283</v>
      </c>
      <c r="O92" s="4"/>
      <c r="P92" s="24">
        <f t="shared" si="18"/>
        <v>99</v>
      </c>
      <c r="Q92" s="8">
        <f t="shared" si="19"/>
        <v>0</v>
      </c>
      <c r="R92" s="8">
        <f t="shared" si="20"/>
        <v>99</v>
      </c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>
        <v>1</v>
      </c>
      <c r="AF92" s="8"/>
      <c r="AG92" s="8"/>
      <c r="AH92" s="8"/>
      <c r="AI92" s="8"/>
      <c r="AJ92" s="8"/>
      <c r="AK92" s="8"/>
      <c r="AL92" s="8"/>
      <c r="AM92" s="8"/>
      <c r="AN92" s="8">
        <v>1</v>
      </c>
      <c r="AO92" s="8"/>
      <c r="AP92" s="8">
        <v>6</v>
      </c>
      <c r="AQ92" s="8"/>
      <c r="AR92" s="8"/>
      <c r="AS92" s="8"/>
      <c r="AT92" s="8">
        <v>1</v>
      </c>
      <c r="AU92" s="8"/>
      <c r="AV92" s="8"/>
      <c r="AW92" s="8">
        <v>1</v>
      </c>
      <c r="AX92" s="8"/>
      <c r="AY92" s="8">
        <v>16</v>
      </c>
      <c r="AZ92" s="8"/>
      <c r="BA92" s="8"/>
      <c r="BB92" s="8"/>
      <c r="BC92" s="8"/>
      <c r="BD92" s="8"/>
      <c r="BE92" s="8"/>
      <c r="BF92" s="8"/>
      <c r="BG92" s="8"/>
      <c r="BH92" s="8">
        <v>2</v>
      </c>
      <c r="BI92" s="8"/>
      <c r="BJ92" s="8">
        <v>27</v>
      </c>
      <c r="BK92" s="8">
        <v>1</v>
      </c>
      <c r="BL92" s="8">
        <v>6</v>
      </c>
      <c r="BM92" s="8"/>
      <c r="BN92" s="8"/>
      <c r="BO92" s="8">
        <v>1</v>
      </c>
      <c r="BP92" s="8"/>
      <c r="BQ92" s="8">
        <v>22</v>
      </c>
      <c r="BR92" s="8"/>
      <c r="BS92" s="8">
        <v>14</v>
      </c>
      <c r="BT92" s="8"/>
      <c r="BU92" s="8"/>
      <c r="BV92" s="8"/>
      <c r="BW92" s="8"/>
      <c r="BX92" s="8"/>
    </row>
    <row r="93" spans="1:76" ht="16.5" customHeight="1" x14ac:dyDescent="0.3">
      <c r="A93" t="s">
        <v>573</v>
      </c>
      <c r="B93" t="s">
        <v>656</v>
      </c>
      <c r="C93" t="s">
        <v>657</v>
      </c>
      <c r="D93" t="s">
        <v>691</v>
      </c>
      <c r="E93" t="s">
        <v>665</v>
      </c>
      <c r="F93" t="s">
        <v>665</v>
      </c>
      <c r="G93" s="5">
        <v>1494773</v>
      </c>
      <c r="H93" s="7" t="s">
        <v>284</v>
      </c>
      <c r="I93" s="5" t="s">
        <v>253</v>
      </c>
      <c r="J93" s="5">
        <v>2</v>
      </c>
      <c r="K93" s="5" t="s">
        <v>102</v>
      </c>
      <c r="L93" s="5" t="s">
        <v>109</v>
      </c>
      <c r="M93" s="5" t="s">
        <v>94</v>
      </c>
      <c r="N93" s="5" t="s">
        <v>285</v>
      </c>
      <c r="O93" s="4"/>
      <c r="P93" s="24">
        <f t="shared" si="18"/>
        <v>8.5</v>
      </c>
      <c r="Q93" s="8">
        <f t="shared" si="19"/>
        <v>0</v>
      </c>
      <c r="R93" s="8">
        <f t="shared" si="20"/>
        <v>8.5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>
        <v>1</v>
      </c>
      <c r="AK93" s="8"/>
      <c r="AL93" s="8"/>
      <c r="AM93" s="8"/>
      <c r="AN93" s="8">
        <v>1</v>
      </c>
      <c r="AO93" s="8"/>
      <c r="AP93" s="8"/>
      <c r="AQ93" s="8"/>
      <c r="AR93" s="8"/>
      <c r="AS93" s="8"/>
      <c r="AT93" s="8"/>
      <c r="AU93" s="8"/>
      <c r="AV93" s="8"/>
      <c r="AW93" s="8"/>
      <c r="AX93" s="8">
        <v>1</v>
      </c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>
        <v>1</v>
      </c>
      <c r="BJ93" s="8">
        <v>0.5</v>
      </c>
      <c r="BK93" s="8"/>
      <c r="BL93" s="8"/>
      <c r="BM93" s="8"/>
      <c r="BN93" s="8"/>
      <c r="BO93" s="8"/>
      <c r="BP93" s="8">
        <v>2</v>
      </c>
      <c r="BQ93" s="8">
        <v>2</v>
      </c>
      <c r="BR93" s="8"/>
      <c r="BS93" s="8"/>
      <c r="BT93" s="8"/>
      <c r="BU93" s="8"/>
      <c r="BV93" s="8"/>
      <c r="BW93" s="8"/>
      <c r="BX93" s="8"/>
    </row>
    <row r="94" spans="1:76" ht="16.5" customHeight="1" x14ac:dyDescent="0.3">
      <c r="A94" t="s">
        <v>573</v>
      </c>
      <c r="B94" t="s">
        <v>656</v>
      </c>
      <c r="C94" t="s">
        <v>657</v>
      </c>
      <c r="D94" t="s">
        <v>691</v>
      </c>
      <c r="E94" t="s">
        <v>666</v>
      </c>
      <c r="F94" t="s">
        <v>666</v>
      </c>
      <c r="G94" s="5">
        <v>1494774</v>
      </c>
      <c r="H94" s="7" t="s">
        <v>286</v>
      </c>
      <c r="I94" s="5" t="s">
        <v>253</v>
      </c>
      <c r="J94" s="5">
        <v>2</v>
      </c>
      <c r="K94" s="5" t="s">
        <v>102</v>
      </c>
      <c r="L94" s="5" t="s">
        <v>109</v>
      </c>
      <c r="M94" s="5" t="s">
        <v>94</v>
      </c>
      <c r="N94" s="5" t="s">
        <v>285</v>
      </c>
      <c r="O94" s="4"/>
      <c r="P94" s="24">
        <f t="shared" si="18"/>
        <v>19</v>
      </c>
      <c r="Q94" s="8">
        <f t="shared" si="19"/>
        <v>0</v>
      </c>
      <c r="R94" s="8">
        <f t="shared" si="20"/>
        <v>19</v>
      </c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>
        <v>1</v>
      </c>
      <c r="AK94" s="8"/>
      <c r="AL94" s="8"/>
      <c r="AM94" s="8"/>
      <c r="AN94" s="8">
        <v>2</v>
      </c>
      <c r="AO94" s="8"/>
      <c r="AP94" s="8"/>
      <c r="AQ94" s="8"/>
      <c r="AR94" s="8"/>
      <c r="AS94" s="8"/>
      <c r="AT94" s="8"/>
      <c r="AU94" s="8"/>
      <c r="AV94" s="8"/>
      <c r="AW94" s="8">
        <v>3</v>
      </c>
      <c r="AX94" s="8"/>
      <c r="AY94" s="8">
        <v>1</v>
      </c>
      <c r="AZ94" s="8"/>
      <c r="BA94" s="8"/>
      <c r="BB94" s="8"/>
      <c r="BC94" s="8">
        <v>1</v>
      </c>
      <c r="BD94" s="8"/>
      <c r="BE94" s="8"/>
      <c r="BF94" s="8"/>
      <c r="BG94" s="8"/>
      <c r="BH94" s="8"/>
      <c r="BI94" s="8"/>
      <c r="BJ94" s="8">
        <v>2</v>
      </c>
      <c r="BK94" s="8"/>
      <c r="BL94" s="8">
        <v>2</v>
      </c>
      <c r="BM94" s="8"/>
      <c r="BN94" s="8"/>
      <c r="BO94" s="8"/>
      <c r="BP94" s="8"/>
      <c r="BQ94" s="8">
        <v>3</v>
      </c>
      <c r="BR94" s="8"/>
      <c r="BS94" s="8">
        <v>1</v>
      </c>
      <c r="BT94" s="8">
        <v>1</v>
      </c>
      <c r="BU94" s="8">
        <v>1</v>
      </c>
      <c r="BV94" s="8">
        <v>1</v>
      </c>
      <c r="BW94" s="8"/>
      <c r="BX94" s="8"/>
    </row>
    <row r="95" spans="1:76" ht="16.5" customHeight="1" x14ac:dyDescent="0.3">
      <c r="A95" t="s">
        <v>573</v>
      </c>
      <c r="B95" t="s">
        <v>656</v>
      </c>
      <c r="C95" t="s">
        <v>657</v>
      </c>
      <c r="D95" t="s">
        <v>691</v>
      </c>
      <c r="E95" t="s">
        <v>670</v>
      </c>
      <c r="F95" t="s">
        <v>670</v>
      </c>
      <c r="G95" s="5">
        <v>1495098</v>
      </c>
      <c r="H95" s="7" t="s">
        <v>288</v>
      </c>
      <c r="I95" s="5" t="s">
        <v>253</v>
      </c>
      <c r="J95" s="5">
        <v>2</v>
      </c>
      <c r="K95" s="5" t="s">
        <v>102</v>
      </c>
      <c r="L95" s="5" t="s">
        <v>109</v>
      </c>
      <c r="M95" s="5" t="s">
        <v>94</v>
      </c>
      <c r="N95" s="5" t="s">
        <v>285</v>
      </c>
      <c r="O95" s="4"/>
      <c r="P95" s="24">
        <f t="shared" si="18"/>
        <v>30</v>
      </c>
      <c r="Q95" s="8">
        <f t="shared" si="19"/>
        <v>0</v>
      </c>
      <c r="R95" s="8">
        <f t="shared" si="20"/>
        <v>30</v>
      </c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>
        <v>2</v>
      </c>
      <c r="AJ95" s="8"/>
      <c r="AK95" s="8"/>
      <c r="AL95" s="8"/>
      <c r="AM95" s="8"/>
      <c r="AN95" s="8">
        <v>10</v>
      </c>
      <c r="AO95" s="8"/>
      <c r="AP95" s="8"/>
      <c r="AQ95" s="8"/>
      <c r="AR95" s="8"/>
      <c r="AS95" s="8"/>
      <c r="AT95" s="8"/>
      <c r="AU95" s="8"/>
      <c r="AV95" s="8"/>
      <c r="AW95" s="8">
        <v>13</v>
      </c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>
        <v>4</v>
      </c>
      <c r="BI95" s="8"/>
      <c r="BJ95" s="8"/>
      <c r="BK95" s="8"/>
      <c r="BL95" s="8"/>
      <c r="BM95" s="8"/>
      <c r="BN95" s="8"/>
      <c r="BO95" s="8">
        <v>1</v>
      </c>
      <c r="BP95" s="8"/>
      <c r="BQ95" s="8"/>
      <c r="BR95" s="8"/>
      <c r="BS95" s="8"/>
      <c r="BT95" s="8"/>
      <c r="BU95" s="8"/>
      <c r="BV95" s="8"/>
      <c r="BW95" s="8"/>
      <c r="BX95" s="8"/>
    </row>
    <row r="96" spans="1:76" ht="16.5" customHeight="1" x14ac:dyDescent="0.3">
      <c r="A96" t="s">
        <v>573</v>
      </c>
      <c r="B96" t="s">
        <v>656</v>
      </c>
      <c r="C96" t="s">
        <v>657</v>
      </c>
      <c r="D96" t="s">
        <v>691</v>
      </c>
      <c r="E96" t="s">
        <v>671</v>
      </c>
      <c r="F96" t="s">
        <v>671</v>
      </c>
      <c r="G96" s="5">
        <v>1495132</v>
      </c>
      <c r="H96" s="7" t="s">
        <v>289</v>
      </c>
      <c r="I96" s="5" t="s">
        <v>253</v>
      </c>
      <c r="J96" s="5">
        <v>2</v>
      </c>
      <c r="K96" s="5" t="s">
        <v>102</v>
      </c>
      <c r="L96" s="5" t="s">
        <v>109</v>
      </c>
      <c r="M96" s="5" t="s">
        <v>94</v>
      </c>
      <c r="N96" s="5" t="s">
        <v>285</v>
      </c>
      <c r="O96" s="4"/>
      <c r="P96" s="24">
        <f t="shared" si="18"/>
        <v>18</v>
      </c>
      <c r="Q96" s="8">
        <f t="shared" si="19"/>
        <v>0</v>
      </c>
      <c r="R96" s="8">
        <f t="shared" si="20"/>
        <v>18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>
        <v>1</v>
      </c>
      <c r="AJ96" s="8"/>
      <c r="AK96" s="8"/>
      <c r="AL96" s="8"/>
      <c r="AM96" s="8"/>
      <c r="AN96" s="8">
        <v>6</v>
      </c>
      <c r="AO96" s="8"/>
      <c r="AP96" s="8"/>
      <c r="AQ96" s="8"/>
      <c r="AR96" s="8"/>
      <c r="AS96" s="8"/>
      <c r="AT96" s="8"/>
      <c r="AU96" s="8"/>
      <c r="AV96" s="8"/>
      <c r="AW96" s="8">
        <v>8</v>
      </c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>
        <v>2</v>
      </c>
      <c r="BI96" s="8"/>
      <c r="BJ96" s="8"/>
      <c r="BK96" s="8"/>
      <c r="BL96" s="8"/>
      <c r="BM96" s="8"/>
      <c r="BN96" s="8"/>
      <c r="BO96" s="8">
        <v>1</v>
      </c>
      <c r="BP96" s="8"/>
      <c r="BQ96" s="8"/>
      <c r="BR96" s="8"/>
      <c r="BS96" s="8"/>
      <c r="BT96" s="8"/>
      <c r="BU96" s="8"/>
      <c r="BV96" s="8"/>
      <c r="BW96" s="8"/>
      <c r="BX96" s="8"/>
    </row>
    <row r="97" spans="1:76" ht="16.5" customHeight="1" x14ac:dyDescent="0.3">
      <c r="A97" t="s">
        <v>573</v>
      </c>
      <c r="B97" t="s">
        <v>656</v>
      </c>
      <c r="C97" t="s">
        <v>657</v>
      </c>
      <c r="D97" t="s">
        <v>691</v>
      </c>
      <c r="E97" t="s">
        <v>672</v>
      </c>
      <c r="F97" t="s">
        <v>672</v>
      </c>
      <c r="G97" s="5">
        <v>1495168</v>
      </c>
      <c r="H97" s="7" t="s">
        <v>290</v>
      </c>
      <c r="I97" s="5" t="s">
        <v>253</v>
      </c>
      <c r="J97" s="5">
        <v>2</v>
      </c>
      <c r="K97" s="5" t="s">
        <v>102</v>
      </c>
      <c r="L97" s="5" t="s">
        <v>109</v>
      </c>
      <c r="M97" s="5" t="s">
        <v>94</v>
      </c>
      <c r="N97" s="5" t="s">
        <v>285</v>
      </c>
      <c r="O97" s="4"/>
      <c r="P97" s="24">
        <f t="shared" si="18"/>
        <v>17</v>
      </c>
      <c r="Q97" s="8">
        <f t="shared" si="19"/>
        <v>0</v>
      </c>
      <c r="R97" s="8">
        <f t="shared" si="20"/>
        <v>17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>
        <v>7</v>
      </c>
      <c r="AO97" s="8"/>
      <c r="AP97" s="8"/>
      <c r="AQ97" s="8"/>
      <c r="AR97" s="8"/>
      <c r="AS97" s="8"/>
      <c r="AT97" s="8"/>
      <c r="AU97" s="8"/>
      <c r="AV97" s="8"/>
      <c r="AW97" s="8">
        <v>8</v>
      </c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>
        <v>1</v>
      </c>
      <c r="BI97" s="8"/>
      <c r="BJ97" s="8"/>
      <c r="BK97" s="8"/>
      <c r="BL97" s="8"/>
      <c r="BM97" s="8"/>
      <c r="BN97" s="8"/>
      <c r="BO97" s="8">
        <v>1</v>
      </c>
      <c r="BP97" s="8"/>
      <c r="BQ97" s="8"/>
      <c r="BR97" s="8"/>
      <c r="BS97" s="8"/>
      <c r="BT97" s="8"/>
      <c r="BU97" s="8"/>
      <c r="BV97" s="8"/>
      <c r="BW97" s="8"/>
      <c r="BX97" s="8"/>
    </row>
    <row r="98" spans="1:76" ht="16.5" customHeight="1" x14ac:dyDescent="0.3">
      <c r="A98" t="s">
        <v>573</v>
      </c>
      <c r="B98" t="s">
        <v>656</v>
      </c>
      <c r="C98" t="s">
        <v>657</v>
      </c>
      <c r="D98" t="s">
        <v>691</v>
      </c>
      <c r="E98" t="s">
        <v>679</v>
      </c>
      <c r="F98" t="s">
        <v>679</v>
      </c>
      <c r="G98" s="5">
        <v>1495199</v>
      </c>
      <c r="H98" s="7" t="s">
        <v>291</v>
      </c>
      <c r="I98" s="5" t="s">
        <v>253</v>
      </c>
      <c r="J98" s="5">
        <v>2</v>
      </c>
      <c r="K98" s="5" t="s">
        <v>102</v>
      </c>
      <c r="L98" s="5" t="s">
        <v>109</v>
      </c>
      <c r="M98" s="5" t="s">
        <v>94</v>
      </c>
      <c r="N98" s="5" t="s">
        <v>285</v>
      </c>
      <c r="O98" s="4"/>
      <c r="P98" s="24">
        <f t="shared" si="18"/>
        <v>10</v>
      </c>
      <c r="Q98" s="8">
        <f t="shared" si="19"/>
        <v>0</v>
      </c>
      <c r="R98" s="8">
        <f t="shared" si="20"/>
        <v>10</v>
      </c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>
        <v>1</v>
      </c>
      <c r="AJ98" s="8"/>
      <c r="AK98" s="8"/>
      <c r="AL98" s="8"/>
      <c r="AM98" s="8"/>
      <c r="AN98" s="8">
        <v>4</v>
      </c>
      <c r="AO98" s="8"/>
      <c r="AP98" s="8"/>
      <c r="AQ98" s="8"/>
      <c r="AR98" s="8"/>
      <c r="AS98" s="8"/>
      <c r="AT98" s="8"/>
      <c r="AU98" s="8"/>
      <c r="AV98" s="8"/>
      <c r="AW98" s="8">
        <v>4</v>
      </c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>
        <v>1</v>
      </c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</row>
    <row r="99" spans="1:76" ht="16.5" customHeight="1" x14ac:dyDescent="0.3">
      <c r="A99" t="s">
        <v>573</v>
      </c>
      <c r="B99" t="s">
        <v>656</v>
      </c>
      <c r="C99" t="s">
        <v>657</v>
      </c>
      <c r="D99" t="s">
        <v>691</v>
      </c>
      <c r="E99" t="s">
        <v>676</v>
      </c>
      <c r="F99" t="s">
        <v>676</v>
      </c>
      <c r="G99" s="5">
        <v>1495226</v>
      </c>
      <c r="H99" s="7" t="s">
        <v>292</v>
      </c>
      <c r="I99" s="5" t="s">
        <v>253</v>
      </c>
      <c r="J99" s="5">
        <v>2</v>
      </c>
      <c r="K99" s="5" t="s">
        <v>102</v>
      </c>
      <c r="L99" s="5" t="s">
        <v>109</v>
      </c>
      <c r="M99" s="5" t="s">
        <v>94</v>
      </c>
      <c r="N99" s="5" t="s">
        <v>285</v>
      </c>
      <c r="O99" s="4"/>
      <c r="P99" s="24">
        <f t="shared" si="18"/>
        <v>12</v>
      </c>
      <c r="Q99" s="8">
        <f t="shared" si="19"/>
        <v>0</v>
      </c>
      <c r="R99" s="8">
        <f t="shared" si="20"/>
        <v>12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>
        <v>1</v>
      </c>
      <c r="AK99" s="8"/>
      <c r="AL99" s="8"/>
      <c r="AM99" s="8"/>
      <c r="AN99" s="8"/>
      <c r="AO99" s="8"/>
      <c r="AP99" s="8"/>
      <c r="AQ99" s="8">
        <v>4</v>
      </c>
      <c r="AR99" s="8"/>
      <c r="AS99" s="8"/>
      <c r="AT99" s="8"/>
      <c r="AU99" s="8">
        <v>1</v>
      </c>
      <c r="AV99" s="8"/>
      <c r="AW99" s="8"/>
      <c r="AX99" s="8"/>
      <c r="AY99" s="8"/>
      <c r="AZ99" s="8">
        <v>2</v>
      </c>
      <c r="BA99" s="8"/>
      <c r="BB99" s="8"/>
      <c r="BC99" s="8"/>
      <c r="BD99" s="8">
        <v>2</v>
      </c>
      <c r="BE99" s="8">
        <v>1</v>
      </c>
      <c r="BF99" s="8"/>
      <c r="BG99" s="8"/>
      <c r="BH99" s="8">
        <v>1</v>
      </c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</row>
    <row r="100" spans="1:76" ht="16.5" customHeight="1" x14ac:dyDescent="0.3">
      <c r="G100" s="10">
        <v>1494981</v>
      </c>
      <c r="H100" s="11" t="s">
        <v>312</v>
      </c>
      <c r="I100" s="10" t="s">
        <v>253</v>
      </c>
      <c r="J100" s="10">
        <v>1</v>
      </c>
      <c r="K100" s="10" t="s">
        <v>254</v>
      </c>
      <c r="L100" s="10" t="s">
        <v>255</v>
      </c>
      <c r="M100" s="10" t="s">
        <v>94</v>
      </c>
      <c r="N100" s="10" t="s">
        <v>116</v>
      </c>
      <c r="O100" s="9"/>
      <c r="P100" s="21"/>
      <c r="Q100" s="12"/>
      <c r="R100" s="21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</row>
    <row r="101" spans="1:76" ht="16.5" customHeight="1" x14ac:dyDescent="0.3">
      <c r="A101" t="s">
        <v>573</v>
      </c>
      <c r="B101" t="s">
        <v>656</v>
      </c>
      <c r="C101" t="s">
        <v>693</v>
      </c>
      <c r="D101" t="s">
        <v>693</v>
      </c>
      <c r="E101" t="s">
        <v>693</v>
      </c>
      <c r="F101" t="s">
        <v>693</v>
      </c>
      <c r="G101" s="5">
        <v>1494981</v>
      </c>
      <c r="H101" s="38" t="s">
        <v>313</v>
      </c>
      <c r="I101" s="5" t="s">
        <v>253</v>
      </c>
      <c r="J101" s="5">
        <v>1</v>
      </c>
      <c r="K101" s="5" t="s">
        <v>254</v>
      </c>
      <c r="L101" s="5" t="s">
        <v>255</v>
      </c>
      <c r="M101" s="5" t="s">
        <v>94</v>
      </c>
      <c r="N101" s="5" t="s">
        <v>116</v>
      </c>
      <c r="O101" s="4"/>
      <c r="P101" s="24">
        <f>SUM(Q101,R101)</f>
        <v>1</v>
      </c>
      <c r="Q101" s="8">
        <f>S101</f>
        <v>0</v>
      </c>
      <c r="R101" s="8">
        <f>SUM(T101:BX101)</f>
        <v>1</v>
      </c>
      <c r="S101" s="8"/>
      <c r="T101" s="8"/>
      <c r="U101" s="8"/>
      <c r="V101" s="8">
        <v>1</v>
      </c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</row>
    <row r="102" spans="1:76" ht="16.5" customHeight="1" x14ac:dyDescent="0.3">
      <c r="G102" s="14">
        <v>1494982</v>
      </c>
      <c r="H102" s="15" t="s">
        <v>314</v>
      </c>
      <c r="I102" s="14" t="s">
        <v>253</v>
      </c>
      <c r="J102" s="14">
        <v>1</v>
      </c>
      <c r="K102" s="14" t="s">
        <v>102</v>
      </c>
      <c r="L102" s="14" t="s">
        <v>109</v>
      </c>
      <c r="M102" s="14" t="s">
        <v>94</v>
      </c>
      <c r="N102" s="14" t="s">
        <v>258</v>
      </c>
      <c r="O102" s="13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</row>
    <row r="103" spans="1:76" ht="16.5" customHeight="1" x14ac:dyDescent="0.3">
      <c r="A103" t="s">
        <v>573</v>
      </c>
      <c r="B103" t="s">
        <v>656</v>
      </c>
      <c r="C103" t="s">
        <v>693</v>
      </c>
      <c r="D103" t="s">
        <v>693</v>
      </c>
      <c r="E103" t="s">
        <v>694</v>
      </c>
      <c r="F103" t="s">
        <v>694</v>
      </c>
      <c r="G103" s="5">
        <v>1494982</v>
      </c>
      <c r="H103" s="7" t="s">
        <v>315</v>
      </c>
      <c r="I103" s="5" t="s">
        <v>253</v>
      </c>
      <c r="J103" s="5">
        <v>1</v>
      </c>
      <c r="K103" s="5" t="s">
        <v>102</v>
      </c>
      <c r="L103" s="5" t="s">
        <v>109</v>
      </c>
      <c r="M103" s="5" t="s">
        <v>94</v>
      </c>
      <c r="N103" s="5" t="s">
        <v>258</v>
      </c>
      <c r="O103" s="4"/>
      <c r="P103" s="24">
        <f t="shared" ref="P103:P123" si="21">SUM(Q103,R103)</f>
        <v>1</v>
      </c>
      <c r="Q103" s="8">
        <f t="shared" ref="Q103:Q123" si="22">S103</f>
        <v>0</v>
      </c>
      <c r="R103" s="8">
        <f t="shared" ref="R103:R123" si="23">SUM(T103:BX103)</f>
        <v>1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>
        <v>1</v>
      </c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</row>
    <row r="104" spans="1:76" ht="16.5" customHeight="1" x14ac:dyDescent="0.3">
      <c r="A104" t="s">
        <v>573</v>
      </c>
      <c r="B104" t="s">
        <v>656</v>
      </c>
      <c r="C104" t="s">
        <v>693</v>
      </c>
      <c r="D104" t="s">
        <v>693</v>
      </c>
      <c r="E104" t="s">
        <v>694</v>
      </c>
      <c r="F104" t="s">
        <v>659</v>
      </c>
      <c r="G104" s="5">
        <v>1495052</v>
      </c>
      <c r="H104" s="7" t="s">
        <v>260</v>
      </c>
      <c r="I104" s="5" t="s">
        <v>253</v>
      </c>
      <c r="J104" s="5">
        <v>1</v>
      </c>
      <c r="K104" s="5" t="s">
        <v>102</v>
      </c>
      <c r="L104" s="5" t="s">
        <v>109</v>
      </c>
      <c r="M104" s="5" t="s">
        <v>94</v>
      </c>
      <c r="N104" s="5" t="s">
        <v>261</v>
      </c>
      <c r="O104" s="4"/>
      <c r="P104" s="24">
        <f t="shared" si="21"/>
        <v>11</v>
      </c>
      <c r="Q104" s="8">
        <f t="shared" si="22"/>
        <v>0</v>
      </c>
      <c r="R104" s="8">
        <f t="shared" si="23"/>
        <v>11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>
        <v>1</v>
      </c>
      <c r="AJ104" s="8"/>
      <c r="AK104" s="8"/>
      <c r="AL104" s="8"/>
      <c r="AM104" s="8"/>
      <c r="AN104" s="8">
        <v>1</v>
      </c>
      <c r="AO104" s="8"/>
      <c r="AP104" s="8">
        <v>1</v>
      </c>
      <c r="AQ104" s="8"/>
      <c r="AR104" s="8"/>
      <c r="AS104" s="8"/>
      <c r="AT104" s="8"/>
      <c r="AU104" s="8"/>
      <c r="AV104" s="8"/>
      <c r="AW104" s="8"/>
      <c r="AX104" s="8"/>
      <c r="AY104" s="8">
        <v>2</v>
      </c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>
        <v>2</v>
      </c>
      <c r="BK104" s="8"/>
      <c r="BL104" s="8">
        <v>1</v>
      </c>
      <c r="BM104" s="8"/>
      <c r="BN104" s="8"/>
      <c r="BO104" s="8"/>
      <c r="BP104" s="8"/>
      <c r="BQ104" s="8">
        <v>2</v>
      </c>
      <c r="BR104" s="8"/>
      <c r="BS104" s="8">
        <v>1</v>
      </c>
      <c r="BT104" s="8"/>
      <c r="BU104" s="8"/>
      <c r="BV104" s="8"/>
      <c r="BW104" s="8"/>
      <c r="BX104" s="8"/>
    </row>
    <row r="105" spans="1:76" ht="16.5" customHeight="1" x14ac:dyDescent="0.3">
      <c r="A105" t="s">
        <v>573</v>
      </c>
      <c r="B105" t="s">
        <v>656</v>
      </c>
      <c r="C105" t="s">
        <v>693</v>
      </c>
      <c r="D105" t="s">
        <v>693</v>
      </c>
      <c r="E105" t="s">
        <v>694</v>
      </c>
      <c r="F105" t="s">
        <v>660</v>
      </c>
      <c r="G105" s="5">
        <v>1495060</v>
      </c>
      <c r="H105" s="7" t="s">
        <v>262</v>
      </c>
      <c r="I105" s="5" t="s">
        <v>253</v>
      </c>
      <c r="J105" s="5">
        <v>1</v>
      </c>
      <c r="K105" s="5" t="s">
        <v>102</v>
      </c>
      <c r="L105" s="5" t="s">
        <v>109</v>
      </c>
      <c r="M105" s="5" t="s">
        <v>94</v>
      </c>
      <c r="N105" s="5" t="s">
        <v>261</v>
      </c>
      <c r="O105" s="4"/>
      <c r="P105" s="24">
        <f t="shared" si="21"/>
        <v>23</v>
      </c>
      <c r="Q105" s="8">
        <f t="shared" si="22"/>
        <v>0</v>
      </c>
      <c r="R105" s="8">
        <f t="shared" si="23"/>
        <v>23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>
        <v>1</v>
      </c>
      <c r="AJ105" s="8"/>
      <c r="AK105" s="8"/>
      <c r="AL105" s="8"/>
      <c r="AM105" s="8"/>
      <c r="AN105" s="8"/>
      <c r="AO105" s="8"/>
      <c r="AP105" s="8">
        <v>1</v>
      </c>
      <c r="AQ105" s="8"/>
      <c r="AR105" s="8"/>
      <c r="AS105" s="8"/>
      <c r="AT105" s="8"/>
      <c r="AU105" s="8"/>
      <c r="AV105" s="8"/>
      <c r="AW105" s="8"/>
      <c r="AX105" s="8"/>
      <c r="AY105" s="8">
        <v>5</v>
      </c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>
        <v>6</v>
      </c>
      <c r="BK105" s="8">
        <v>1</v>
      </c>
      <c r="BL105" s="8">
        <v>1</v>
      </c>
      <c r="BM105" s="8"/>
      <c r="BN105" s="8"/>
      <c r="BO105" s="8"/>
      <c r="BP105" s="8"/>
      <c r="BQ105" s="8">
        <v>5</v>
      </c>
      <c r="BR105" s="8"/>
      <c r="BS105" s="8">
        <v>3</v>
      </c>
      <c r="BT105" s="8"/>
      <c r="BU105" s="8"/>
      <c r="BV105" s="8"/>
      <c r="BW105" s="8"/>
      <c r="BX105" s="8"/>
    </row>
    <row r="106" spans="1:76" ht="16.5" customHeight="1" x14ac:dyDescent="0.3">
      <c r="A106" t="s">
        <v>573</v>
      </c>
      <c r="B106" t="s">
        <v>656</v>
      </c>
      <c r="C106" t="s">
        <v>693</v>
      </c>
      <c r="D106" t="s">
        <v>693</v>
      </c>
      <c r="E106" t="s">
        <v>694</v>
      </c>
      <c r="F106" t="s">
        <v>661</v>
      </c>
      <c r="G106" s="5">
        <v>1495068</v>
      </c>
      <c r="H106" s="7" t="s">
        <v>263</v>
      </c>
      <c r="I106" s="5" t="s">
        <v>253</v>
      </c>
      <c r="J106" s="5">
        <v>1</v>
      </c>
      <c r="K106" s="5" t="s">
        <v>102</v>
      </c>
      <c r="L106" s="5" t="s">
        <v>109</v>
      </c>
      <c r="M106" s="5" t="s">
        <v>94</v>
      </c>
      <c r="N106" s="5" t="s">
        <v>261</v>
      </c>
      <c r="O106" s="4"/>
      <c r="P106" s="24">
        <f t="shared" si="21"/>
        <v>15</v>
      </c>
      <c r="Q106" s="8">
        <f t="shared" si="22"/>
        <v>0</v>
      </c>
      <c r="R106" s="8">
        <f t="shared" si="23"/>
        <v>15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>
        <v>1</v>
      </c>
      <c r="AL106" s="8"/>
      <c r="AM106" s="8"/>
      <c r="AN106" s="8"/>
      <c r="AO106" s="8"/>
      <c r="AP106" s="8">
        <v>1</v>
      </c>
      <c r="AQ106" s="8"/>
      <c r="AR106" s="8"/>
      <c r="AS106" s="8"/>
      <c r="AT106" s="8"/>
      <c r="AU106" s="8"/>
      <c r="AV106" s="8"/>
      <c r="AW106" s="8"/>
      <c r="AX106" s="8"/>
      <c r="AY106" s="8">
        <v>3</v>
      </c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>
        <v>4</v>
      </c>
      <c r="BK106" s="8"/>
      <c r="BL106" s="8">
        <v>1</v>
      </c>
      <c r="BM106" s="8"/>
      <c r="BN106" s="8"/>
      <c r="BO106" s="8"/>
      <c r="BP106" s="8"/>
      <c r="BQ106" s="8">
        <v>5</v>
      </c>
      <c r="BR106" s="8"/>
      <c r="BS106" s="8"/>
      <c r="BT106" s="8"/>
      <c r="BU106" s="8"/>
      <c r="BV106" s="8"/>
      <c r="BW106" s="8"/>
      <c r="BX106" s="8"/>
    </row>
    <row r="107" spans="1:76" ht="16.5" customHeight="1" x14ac:dyDescent="0.3">
      <c r="A107" t="s">
        <v>573</v>
      </c>
      <c r="B107" t="s">
        <v>656</v>
      </c>
      <c r="C107" t="s">
        <v>693</v>
      </c>
      <c r="D107" t="s">
        <v>693</v>
      </c>
      <c r="E107" t="s">
        <v>694</v>
      </c>
      <c r="F107" t="s">
        <v>662</v>
      </c>
      <c r="G107" s="5">
        <v>1495081</v>
      </c>
      <c r="H107" s="7" t="s">
        <v>264</v>
      </c>
      <c r="I107" s="5" t="s">
        <v>253</v>
      </c>
      <c r="J107" s="5">
        <v>1</v>
      </c>
      <c r="K107" s="5" t="s">
        <v>102</v>
      </c>
      <c r="L107" s="5" t="s">
        <v>109</v>
      </c>
      <c r="M107" s="5" t="s">
        <v>94</v>
      </c>
      <c r="N107" s="5" t="s">
        <v>261</v>
      </c>
      <c r="O107" s="4"/>
      <c r="P107" s="24">
        <f t="shared" si="21"/>
        <v>21</v>
      </c>
      <c r="Q107" s="8">
        <f t="shared" si="22"/>
        <v>0</v>
      </c>
      <c r="R107" s="8">
        <f t="shared" si="23"/>
        <v>21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>
        <v>1</v>
      </c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>
        <v>1</v>
      </c>
      <c r="AX107" s="8"/>
      <c r="AY107" s="8">
        <v>4</v>
      </c>
      <c r="AZ107" s="8"/>
      <c r="BA107" s="8"/>
      <c r="BB107" s="8"/>
      <c r="BC107" s="8"/>
      <c r="BD107" s="8"/>
      <c r="BE107" s="8"/>
      <c r="BF107" s="8"/>
      <c r="BG107" s="8"/>
      <c r="BH107" s="8">
        <v>1</v>
      </c>
      <c r="BI107" s="8"/>
      <c r="BJ107" s="8">
        <v>6</v>
      </c>
      <c r="BK107" s="8"/>
      <c r="BL107" s="8"/>
      <c r="BM107" s="8"/>
      <c r="BN107" s="8"/>
      <c r="BO107" s="8"/>
      <c r="BP107" s="8"/>
      <c r="BQ107" s="8">
        <v>7</v>
      </c>
      <c r="BR107" s="8"/>
      <c r="BS107" s="8">
        <v>1</v>
      </c>
      <c r="BT107" s="8"/>
      <c r="BU107" s="8"/>
      <c r="BV107" s="8"/>
      <c r="BW107" s="8"/>
      <c r="BX107" s="8"/>
    </row>
    <row r="108" spans="1:76" ht="16.5" customHeight="1" x14ac:dyDescent="0.3">
      <c r="A108" t="s">
        <v>573</v>
      </c>
      <c r="B108" t="s">
        <v>656</v>
      </c>
      <c r="C108" t="s">
        <v>693</v>
      </c>
      <c r="D108" t="s">
        <v>693</v>
      </c>
      <c r="E108" t="s">
        <v>694</v>
      </c>
      <c r="F108" t="s">
        <v>663</v>
      </c>
      <c r="G108" s="5">
        <v>1495109</v>
      </c>
      <c r="H108" s="7" t="s">
        <v>265</v>
      </c>
      <c r="I108" s="5" t="s">
        <v>253</v>
      </c>
      <c r="J108" s="5">
        <v>1</v>
      </c>
      <c r="K108" s="5" t="s">
        <v>102</v>
      </c>
      <c r="L108" s="5" t="s">
        <v>109</v>
      </c>
      <c r="M108" s="5" t="s">
        <v>94</v>
      </c>
      <c r="N108" s="5" t="s">
        <v>261</v>
      </c>
      <c r="O108" s="4"/>
      <c r="P108" s="24">
        <f t="shared" si="21"/>
        <v>8</v>
      </c>
      <c r="Q108" s="8">
        <f t="shared" si="22"/>
        <v>0</v>
      </c>
      <c r="R108" s="8">
        <f t="shared" si="23"/>
        <v>8</v>
      </c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>
        <v>1</v>
      </c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>
        <v>1</v>
      </c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>
        <v>3</v>
      </c>
      <c r="BK108" s="8"/>
      <c r="BL108" s="8"/>
      <c r="BM108" s="8"/>
      <c r="BN108" s="8"/>
      <c r="BO108" s="8"/>
      <c r="BP108" s="8"/>
      <c r="BQ108" s="8">
        <v>3</v>
      </c>
      <c r="BR108" s="8"/>
      <c r="BS108" s="8"/>
      <c r="BT108" s="8"/>
      <c r="BU108" s="8"/>
      <c r="BV108" s="8"/>
      <c r="BW108" s="8"/>
      <c r="BX108" s="8"/>
    </row>
    <row r="109" spans="1:76" ht="16.5" customHeight="1" x14ac:dyDescent="0.3">
      <c r="A109" t="s">
        <v>573</v>
      </c>
      <c r="B109" t="s">
        <v>656</v>
      </c>
      <c r="C109" t="s">
        <v>693</v>
      </c>
      <c r="D109" t="s">
        <v>693</v>
      </c>
      <c r="E109" t="s">
        <v>695</v>
      </c>
      <c r="F109" t="s">
        <v>695</v>
      </c>
      <c r="G109" s="5">
        <v>1494983</v>
      </c>
      <c r="H109" s="7" t="s">
        <v>316</v>
      </c>
      <c r="I109" s="5" t="s">
        <v>253</v>
      </c>
      <c r="J109" s="5">
        <v>1</v>
      </c>
      <c r="K109" s="5" t="s">
        <v>102</v>
      </c>
      <c r="L109" s="5" t="s">
        <v>109</v>
      </c>
      <c r="M109" s="5" t="s">
        <v>94</v>
      </c>
      <c r="N109" s="5" t="s">
        <v>258</v>
      </c>
      <c r="O109" s="4"/>
      <c r="P109" s="24">
        <f t="shared" si="21"/>
        <v>29</v>
      </c>
      <c r="Q109" s="8">
        <f t="shared" si="22"/>
        <v>0</v>
      </c>
      <c r="R109" s="8">
        <f t="shared" si="23"/>
        <v>29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>
        <v>1</v>
      </c>
      <c r="AK109" s="8"/>
      <c r="AL109" s="8"/>
      <c r="AM109" s="8"/>
      <c r="AN109" s="8"/>
      <c r="AO109" s="8"/>
      <c r="AP109" s="8">
        <v>2</v>
      </c>
      <c r="AQ109" s="8"/>
      <c r="AR109" s="8"/>
      <c r="AS109" s="8"/>
      <c r="AT109" s="8"/>
      <c r="AU109" s="8"/>
      <c r="AV109" s="8"/>
      <c r="AW109" s="8"/>
      <c r="AX109" s="8"/>
      <c r="AY109" s="8">
        <v>7</v>
      </c>
      <c r="AZ109" s="8"/>
      <c r="BA109" s="8"/>
      <c r="BB109" s="8"/>
      <c r="BC109" s="8"/>
      <c r="BD109" s="8"/>
      <c r="BE109" s="8"/>
      <c r="BF109" s="8"/>
      <c r="BG109" s="8"/>
      <c r="BH109" s="8">
        <v>1</v>
      </c>
      <c r="BI109" s="8"/>
      <c r="BJ109" s="8">
        <v>6</v>
      </c>
      <c r="BK109" s="8"/>
      <c r="BL109" s="8">
        <v>2</v>
      </c>
      <c r="BM109" s="8"/>
      <c r="BN109" s="8"/>
      <c r="BO109" s="8"/>
      <c r="BP109" s="8"/>
      <c r="BQ109" s="8">
        <v>7</v>
      </c>
      <c r="BR109" s="8"/>
      <c r="BS109" s="8">
        <v>3</v>
      </c>
      <c r="BT109" s="8"/>
      <c r="BU109" s="8"/>
      <c r="BV109" s="8"/>
      <c r="BW109" s="8"/>
      <c r="BX109" s="8"/>
    </row>
    <row r="110" spans="1:76" ht="16.5" customHeight="1" x14ac:dyDescent="0.3">
      <c r="A110" t="s">
        <v>573</v>
      </c>
      <c r="B110" t="s">
        <v>656</v>
      </c>
      <c r="C110" t="s">
        <v>693</v>
      </c>
      <c r="D110" t="s">
        <v>693</v>
      </c>
      <c r="E110" t="s">
        <v>696</v>
      </c>
      <c r="F110" t="s">
        <v>696</v>
      </c>
      <c r="G110" s="5">
        <v>1494984</v>
      </c>
      <c r="H110" s="7" t="s">
        <v>317</v>
      </c>
      <c r="I110" s="5" t="s">
        <v>253</v>
      </c>
      <c r="J110" s="5">
        <v>1</v>
      </c>
      <c r="K110" s="5" t="s">
        <v>102</v>
      </c>
      <c r="L110" s="5" t="s">
        <v>109</v>
      </c>
      <c r="M110" s="5" t="s">
        <v>94</v>
      </c>
      <c r="N110" s="5" t="s">
        <v>258</v>
      </c>
      <c r="O110" s="4"/>
      <c r="P110" s="24">
        <f t="shared" si="21"/>
        <v>15</v>
      </c>
      <c r="Q110" s="8">
        <f t="shared" si="22"/>
        <v>0</v>
      </c>
      <c r="R110" s="8">
        <f t="shared" si="23"/>
        <v>15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>
        <v>1</v>
      </c>
      <c r="AJ110" s="8"/>
      <c r="AK110" s="8"/>
      <c r="AL110" s="8"/>
      <c r="AM110" s="8"/>
      <c r="AN110" s="8"/>
      <c r="AO110" s="8"/>
      <c r="AP110" s="8">
        <v>1</v>
      </c>
      <c r="AQ110" s="8"/>
      <c r="AR110" s="8"/>
      <c r="AS110" s="8"/>
      <c r="AT110" s="8"/>
      <c r="AU110" s="8"/>
      <c r="AV110" s="8"/>
      <c r="AW110" s="8">
        <v>1</v>
      </c>
      <c r="AX110" s="8"/>
      <c r="AY110" s="8">
        <v>2</v>
      </c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>
        <v>3</v>
      </c>
      <c r="BK110" s="8"/>
      <c r="BL110" s="8">
        <v>2</v>
      </c>
      <c r="BM110" s="8"/>
      <c r="BN110" s="8"/>
      <c r="BO110" s="8"/>
      <c r="BP110" s="8"/>
      <c r="BQ110" s="8">
        <v>4</v>
      </c>
      <c r="BR110" s="8"/>
      <c r="BS110" s="8">
        <v>1</v>
      </c>
      <c r="BT110" s="8"/>
      <c r="BU110" s="8"/>
      <c r="BV110" s="8"/>
      <c r="BW110" s="8"/>
      <c r="BX110" s="8"/>
    </row>
    <row r="111" spans="1:76" ht="16.5" customHeight="1" x14ac:dyDescent="0.3">
      <c r="A111" t="s">
        <v>573</v>
      </c>
      <c r="B111" t="s">
        <v>656</v>
      </c>
      <c r="C111" t="s">
        <v>693</v>
      </c>
      <c r="D111" t="s">
        <v>693</v>
      </c>
      <c r="E111" t="s">
        <v>665</v>
      </c>
      <c r="F111" t="s">
        <v>665</v>
      </c>
      <c r="G111" s="5">
        <v>1494985</v>
      </c>
      <c r="H111" s="7" t="s">
        <v>267</v>
      </c>
      <c r="I111" s="5" t="s">
        <v>253</v>
      </c>
      <c r="J111" s="5">
        <v>1</v>
      </c>
      <c r="K111" s="5" t="s">
        <v>102</v>
      </c>
      <c r="L111" s="5" t="s">
        <v>109</v>
      </c>
      <c r="M111" s="5" t="s">
        <v>94</v>
      </c>
      <c r="N111" s="5" t="s">
        <v>268</v>
      </c>
      <c r="O111" s="4"/>
      <c r="P111" s="24">
        <f t="shared" si="21"/>
        <v>22</v>
      </c>
      <c r="Q111" s="8">
        <f t="shared" si="22"/>
        <v>0</v>
      </c>
      <c r="R111" s="8">
        <f t="shared" si="23"/>
        <v>22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>
        <v>1</v>
      </c>
      <c r="AK111" s="8"/>
      <c r="AL111" s="8"/>
      <c r="AM111" s="8"/>
      <c r="AN111" s="8">
        <v>1</v>
      </c>
      <c r="AO111" s="8">
        <v>1</v>
      </c>
      <c r="AP111" s="8"/>
      <c r="AQ111" s="8"/>
      <c r="AR111" s="8"/>
      <c r="AS111" s="8"/>
      <c r="AT111" s="8"/>
      <c r="AU111" s="8"/>
      <c r="AV111" s="8"/>
      <c r="AW111" s="8">
        <v>1</v>
      </c>
      <c r="AX111" s="8"/>
      <c r="AY111" s="8">
        <v>5</v>
      </c>
      <c r="AZ111" s="8"/>
      <c r="BA111" s="8"/>
      <c r="BB111" s="8"/>
      <c r="BC111" s="8"/>
      <c r="BD111" s="8"/>
      <c r="BE111" s="8"/>
      <c r="BF111" s="8"/>
      <c r="BG111" s="8"/>
      <c r="BH111" s="8"/>
      <c r="BI111" s="8">
        <v>3</v>
      </c>
      <c r="BJ111" s="8">
        <v>1</v>
      </c>
      <c r="BK111" s="8"/>
      <c r="BL111" s="8">
        <v>1</v>
      </c>
      <c r="BM111" s="8"/>
      <c r="BN111" s="8"/>
      <c r="BO111" s="8"/>
      <c r="BP111" s="8">
        <v>1</v>
      </c>
      <c r="BQ111" s="8">
        <v>5</v>
      </c>
      <c r="BR111" s="8"/>
      <c r="BS111" s="8">
        <v>2</v>
      </c>
      <c r="BT111" s="8"/>
      <c r="BU111" s="8"/>
      <c r="BV111" s="8"/>
      <c r="BW111" s="8"/>
      <c r="BX111" s="8"/>
    </row>
    <row r="112" spans="1:76" ht="16.5" customHeight="1" x14ac:dyDescent="0.3">
      <c r="A112" t="s">
        <v>573</v>
      </c>
      <c r="B112" t="s">
        <v>656</v>
      </c>
      <c r="C112" t="s">
        <v>693</v>
      </c>
      <c r="D112" t="s">
        <v>693</v>
      </c>
      <c r="E112" t="s">
        <v>666</v>
      </c>
      <c r="F112" t="s">
        <v>666</v>
      </c>
      <c r="G112" s="5">
        <v>1494986</v>
      </c>
      <c r="H112" s="7" t="s">
        <v>269</v>
      </c>
      <c r="I112" s="5" t="s">
        <v>253</v>
      </c>
      <c r="J112" s="5">
        <v>1</v>
      </c>
      <c r="K112" s="5" t="s">
        <v>102</v>
      </c>
      <c r="L112" s="5" t="s">
        <v>109</v>
      </c>
      <c r="M112" s="5" t="s">
        <v>94</v>
      </c>
      <c r="N112" s="5" t="s">
        <v>268</v>
      </c>
      <c r="O112" s="4"/>
      <c r="P112" s="24">
        <f t="shared" si="21"/>
        <v>18</v>
      </c>
      <c r="Q112" s="8">
        <f t="shared" si="22"/>
        <v>0</v>
      </c>
      <c r="R112" s="8">
        <f t="shared" si="23"/>
        <v>18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>
        <v>1</v>
      </c>
      <c r="AK112" s="8"/>
      <c r="AL112" s="8"/>
      <c r="AM112" s="8"/>
      <c r="AN112" s="8">
        <v>1</v>
      </c>
      <c r="AO112" s="8"/>
      <c r="AP112" s="8"/>
      <c r="AQ112" s="8"/>
      <c r="AR112" s="8"/>
      <c r="AS112" s="8"/>
      <c r="AT112" s="8"/>
      <c r="AU112" s="8"/>
      <c r="AV112" s="8"/>
      <c r="AW112" s="8">
        <v>1</v>
      </c>
      <c r="AX112" s="8"/>
      <c r="AY112" s="8">
        <v>1</v>
      </c>
      <c r="AZ112" s="8"/>
      <c r="BA112" s="8"/>
      <c r="BB112" s="8"/>
      <c r="BC112" s="8"/>
      <c r="BD112" s="8"/>
      <c r="BE112" s="8"/>
      <c r="BF112" s="8">
        <v>1</v>
      </c>
      <c r="BG112" s="8"/>
      <c r="BH112" s="8">
        <v>2</v>
      </c>
      <c r="BI112" s="8"/>
      <c r="BJ112" s="8">
        <v>1</v>
      </c>
      <c r="BK112" s="8"/>
      <c r="BL112" s="8">
        <v>2</v>
      </c>
      <c r="BM112" s="8"/>
      <c r="BN112" s="8"/>
      <c r="BO112" s="8"/>
      <c r="BP112" s="8"/>
      <c r="BQ112" s="8">
        <v>4</v>
      </c>
      <c r="BR112" s="8"/>
      <c r="BS112" s="8">
        <v>2</v>
      </c>
      <c r="BT112" s="8"/>
      <c r="BU112" s="8">
        <v>1</v>
      </c>
      <c r="BV112" s="8">
        <v>1</v>
      </c>
      <c r="BW112" s="8"/>
      <c r="BX112" s="8"/>
    </row>
    <row r="113" spans="1:76" ht="16.5" customHeight="1" x14ac:dyDescent="0.3">
      <c r="A113" t="s">
        <v>573</v>
      </c>
      <c r="B113" t="s">
        <v>656</v>
      </c>
      <c r="C113" t="s">
        <v>693</v>
      </c>
      <c r="D113" t="s">
        <v>693</v>
      </c>
      <c r="E113" t="s">
        <v>667</v>
      </c>
      <c r="F113" t="s">
        <v>667</v>
      </c>
      <c r="G113" s="5">
        <v>1494987</v>
      </c>
      <c r="H113" s="7" t="s">
        <v>270</v>
      </c>
      <c r="I113" s="5" t="s">
        <v>253</v>
      </c>
      <c r="J113" s="5">
        <v>1</v>
      </c>
      <c r="K113" s="5" t="s">
        <v>102</v>
      </c>
      <c r="L113" s="5" t="s">
        <v>109</v>
      </c>
      <c r="M113" s="5" t="s">
        <v>94</v>
      </c>
      <c r="N113" s="5" t="s">
        <v>268</v>
      </c>
      <c r="O113" s="4"/>
      <c r="P113" s="24">
        <f t="shared" si="21"/>
        <v>7</v>
      </c>
      <c r="Q113" s="8">
        <f t="shared" si="22"/>
        <v>0</v>
      </c>
      <c r="R113" s="8">
        <f t="shared" si="23"/>
        <v>7</v>
      </c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>
        <v>1</v>
      </c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>
        <v>2</v>
      </c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>
        <v>3</v>
      </c>
      <c r="BK113" s="8"/>
      <c r="BL113" s="8"/>
      <c r="BM113" s="8"/>
      <c r="BN113" s="8"/>
      <c r="BO113" s="8"/>
      <c r="BP113" s="8"/>
      <c r="BQ113" s="8">
        <v>1</v>
      </c>
      <c r="BR113" s="8"/>
      <c r="BS113" s="8"/>
      <c r="BT113" s="8"/>
      <c r="BU113" s="8"/>
      <c r="BV113" s="8"/>
      <c r="BW113" s="8"/>
      <c r="BX113" s="8"/>
    </row>
    <row r="114" spans="1:76" ht="16.5" customHeight="1" x14ac:dyDescent="0.3">
      <c r="A114" t="s">
        <v>573</v>
      </c>
      <c r="B114" t="s">
        <v>656</v>
      </c>
      <c r="C114" t="s">
        <v>693</v>
      </c>
      <c r="D114" t="s">
        <v>693</v>
      </c>
      <c r="E114" t="s">
        <v>668</v>
      </c>
      <c r="F114" t="s">
        <v>668</v>
      </c>
      <c r="G114" s="5">
        <v>1494989</v>
      </c>
      <c r="H114" s="7" t="s">
        <v>271</v>
      </c>
      <c r="I114" s="5" t="s">
        <v>253</v>
      </c>
      <c r="J114" s="5">
        <v>1</v>
      </c>
      <c r="K114" s="5" t="s">
        <v>102</v>
      </c>
      <c r="L114" s="5" t="s">
        <v>109</v>
      </c>
      <c r="M114" s="5" t="s">
        <v>94</v>
      </c>
      <c r="N114" s="5" t="s">
        <v>268</v>
      </c>
      <c r="O114" s="4"/>
      <c r="P114" s="24">
        <f t="shared" si="21"/>
        <v>24</v>
      </c>
      <c r="Q114" s="8">
        <f t="shared" si="22"/>
        <v>0</v>
      </c>
      <c r="R114" s="8">
        <f t="shared" si="23"/>
        <v>24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>
        <v>1</v>
      </c>
      <c r="AF114" s="8"/>
      <c r="AG114" s="8"/>
      <c r="AH114" s="8"/>
      <c r="AI114" s="8"/>
      <c r="AJ114" s="8"/>
      <c r="AK114" s="8"/>
      <c r="AL114" s="8"/>
      <c r="AM114" s="8"/>
      <c r="AN114" s="8">
        <v>8</v>
      </c>
      <c r="AO114" s="8"/>
      <c r="AP114" s="8"/>
      <c r="AQ114" s="8"/>
      <c r="AR114" s="8"/>
      <c r="AS114" s="8"/>
      <c r="AT114" s="8"/>
      <c r="AU114" s="8"/>
      <c r="AV114" s="8"/>
      <c r="AW114" s="8">
        <v>12</v>
      </c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>
        <v>3</v>
      </c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</row>
    <row r="115" spans="1:76" ht="16.5" customHeight="1" x14ac:dyDescent="0.3">
      <c r="A115" t="s">
        <v>573</v>
      </c>
      <c r="B115" t="s">
        <v>656</v>
      </c>
      <c r="C115" t="s">
        <v>693</v>
      </c>
      <c r="D115" t="s">
        <v>693</v>
      </c>
      <c r="E115" t="s">
        <v>669</v>
      </c>
      <c r="F115" t="s">
        <v>669</v>
      </c>
      <c r="G115" s="5">
        <v>1494993</v>
      </c>
      <c r="H115" s="7" t="s">
        <v>272</v>
      </c>
      <c r="I115" s="5" t="s">
        <v>253</v>
      </c>
      <c r="J115" s="5">
        <v>1</v>
      </c>
      <c r="K115" s="5" t="s">
        <v>102</v>
      </c>
      <c r="L115" s="5" t="s">
        <v>109</v>
      </c>
      <c r="M115" s="5" t="s">
        <v>94</v>
      </c>
      <c r="N115" s="5" t="s">
        <v>268</v>
      </c>
      <c r="O115" s="4"/>
      <c r="P115" s="24">
        <f t="shared" si="21"/>
        <v>13</v>
      </c>
      <c r="Q115" s="8">
        <f t="shared" si="22"/>
        <v>0</v>
      </c>
      <c r="R115" s="8">
        <f t="shared" si="23"/>
        <v>13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>
        <v>1</v>
      </c>
      <c r="AJ115" s="8"/>
      <c r="AK115" s="8"/>
      <c r="AL115" s="8"/>
      <c r="AM115" s="8"/>
      <c r="AN115" s="8">
        <v>3</v>
      </c>
      <c r="AO115" s="8"/>
      <c r="AP115" s="8"/>
      <c r="AQ115" s="8"/>
      <c r="AR115" s="8"/>
      <c r="AS115" s="8"/>
      <c r="AT115" s="8"/>
      <c r="AU115" s="8"/>
      <c r="AV115" s="8"/>
      <c r="AW115" s="8">
        <v>5</v>
      </c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>
        <v>3</v>
      </c>
      <c r="BI115" s="8"/>
      <c r="BJ115" s="8"/>
      <c r="BK115" s="8"/>
      <c r="BL115" s="8"/>
      <c r="BM115" s="8"/>
      <c r="BN115" s="8"/>
      <c r="BO115" s="8">
        <v>1</v>
      </c>
      <c r="BP115" s="8"/>
      <c r="BQ115" s="8"/>
      <c r="BR115" s="8"/>
      <c r="BS115" s="8"/>
      <c r="BT115" s="8"/>
      <c r="BU115" s="8"/>
      <c r="BV115" s="8"/>
      <c r="BW115" s="8"/>
      <c r="BX115" s="8"/>
    </row>
    <row r="116" spans="1:76" ht="16.5" customHeight="1" x14ac:dyDescent="0.3">
      <c r="A116" t="s">
        <v>573</v>
      </c>
      <c r="B116" t="s">
        <v>656</v>
      </c>
      <c r="C116" t="s">
        <v>693</v>
      </c>
      <c r="D116" t="s">
        <v>693</v>
      </c>
      <c r="E116" t="s">
        <v>670</v>
      </c>
      <c r="F116" t="s">
        <v>670</v>
      </c>
      <c r="G116" s="5">
        <v>1494998</v>
      </c>
      <c r="H116" s="7" t="s">
        <v>273</v>
      </c>
      <c r="I116" s="5" t="s">
        <v>253</v>
      </c>
      <c r="J116" s="5">
        <v>1</v>
      </c>
      <c r="K116" s="5" t="s">
        <v>102</v>
      </c>
      <c r="L116" s="5" t="s">
        <v>109</v>
      </c>
      <c r="M116" s="5" t="s">
        <v>94</v>
      </c>
      <c r="N116" s="5" t="s">
        <v>268</v>
      </c>
      <c r="O116" s="4"/>
      <c r="P116" s="24">
        <f t="shared" si="21"/>
        <v>38</v>
      </c>
      <c r="Q116" s="8">
        <f t="shared" si="22"/>
        <v>0</v>
      </c>
      <c r="R116" s="8">
        <f t="shared" si="23"/>
        <v>38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>
        <v>1</v>
      </c>
      <c r="AF116" s="8"/>
      <c r="AG116" s="8"/>
      <c r="AH116" s="8"/>
      <c r="AI116" s="8"/>
      <c r="AJ116" s="8"/>
      <c r="AK116" s="8"/>
      <c r="AL116" s="8"/>
      <c r="AM116" s="8"/>
      <c r="AN116" s="8">
        <v>16</v>
      </c>
      <c r="AO116" s="8"/>
      <c r="AP116" s="8"/>
      <c r="AQ116" s="8"/>
      <c r="AR116" s="8"/>
      <c r="AS116" s="8"/>
      <c r="AT116" s="8"/>
      <c r="AU116" s="8"/>
      <c r="AV116" s="8"/>
      <c r="AW116" s="8">
        <v>16</v>
      </c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>
        <v>4</v>
      </c>
      <c r="BI116" s="8"/>
      <c r="BJ116" s="8"/>
      <c r="BK116" s="8"/>
      <c r="BL116" s="8"/>
      <c r="BM116" s="8"/>
      <c r="BN116" s="8"/>
      <c r="BO116" s="8">
        <v>1</v>
      </c>
      <c r="BP116" s="8"/>
      <c r="BQ116" s="8"/>
      <c r="BR116" s="8"/>
      <c r="BS116" s="8"/>
      <c r="BT116" s="8"/>
      <c r="BU116" s="8"/>
      <c r="BV116" s="8"/>
      <c r="BW116" s="8"/>
      <c r="BX116" s="8"/>
    </row>
    <row r="117" spans="1:76" ht="16.5" customHeight="1" x14ac:dyDescent="0.3">
      <c r="A117" t="s">
        <v>573</v>
      </c>
      <c r="B117" t="s">
        <v>656</v>
      </c>
      <c r="C117" t="s">
        <v>693</v>
      </c>
      <c r="D117" t="s">
        <v>693</v>
      </c>
      <c r="E117" t="s">
        <v>671</v>
      </c>
      <c r="F117" t="s">
        <v>671</v>
      </c>
      <c r="G117" s="5">
        <v>1495005</v>
      </c>
      <c r="H117" s="7" t="s">
        <v>274</v>
      </c>
      <c r="I117" s="5" t="s">
        <v>253</v>
      </c>
      <c r="J117" s="5">
        <v>1</v>
      </c>
      <c r="K117" s="5" t="s">
        <v>102</v>
      </c>
      <c r="L117" s="5" t="s">
        <v>109</v>
      </c>
      <c r="M117" s="5" t="s">
        <v>94</v>
      </c>
      <c r="N117" s="5" t="s">
        <v>268</v>
      </c>
      <c r="O117" s="4"/>
      <c r="P117" s="24">
        <f t="shared" si="21"/>
        <v>35</v>
      </c>
      <c r="Q117" s="8">
        <f t="shared" si="22"/>
        <v>0</v>
      </c>
      <c r="R117" s="8">
        <f t="shared" si="23"/>
        <v>35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>
        <v>1</v>
      </c>
      <c r="AJ117" s="8"/>
      <c r="AK117" s="8"/>
      <c r="AL117" s="8"/>
      <c r="AM117" s="8"/>
      <c r="AN117" s="8">
        <v>14</v>
      </c>
      <c r="AO117" s="8"/>
      <c r="AP117" s="8"/>
      <c r="AQ117" s="8"/>
      <c r="AR117" s="8"/>
      <c r="AS117" s="8"/>
      <c r="AT117" s="8"/>
      <c r="AU117" s="8"/>
      <c r="AV117" s="8"/>
      <c r="AW117" s="8">
        <v>15</v>
      </c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>
        <v>4</v>
      </c>
      <c r="BI117" s="8"/>
      <c r="BJ117" s="8"/>
      <c r="BK117" s="8"/>
      <c r="BL117" s="8"/>
      <c r="BM117" s="8"/>
      <c r="BN117" s="8"/>
      <c r="BO117" s="8">
        <v>1</v>
      </c>
      <c r="BP117" s="8"/>
      <c r="BQ117" s="8"/>
      <c r="BR117" s="8"/>
      <c r="BS117" s="8"/>
      <c r="BT117" s="8"/>
      <c r="BU117" s="8"/>
      <c r="BV117" s="8"/>
      <c r="BW117" s="8"/>
      <c r="BX117" s="8"/>
    </row>
    <row r="118" spans="1:76" ht="16.5" customHeight="1" x14ac:dyDescent="0.3">
      <c r="A118" t="s">
        <v>573</v>
      </c>
      <c r="B118" t="s">
        <v>656</v>
      </c>
      <c r="C118" t="s">
        <v>693</v>
      </c>
      <c r="D118" t="s">
        <v>693</v>
      </c>
      <c r="E118" t="s">
        <v>673</v>
      </c>
      <c r="F118" t="s">
        <v>673</v>
      </c>
      <c r="G118" s="5">
        <v>1495012</v>
      </c>
      <c r="H118" s="7" t="s">
        <v>276</v>
      </c>
      <c r="I118" s="5" t="s">
        <v>253</v>
      </c>
      <c r="J118" s="5">
        <v>1</v>
      </c>
      <c r="K118" s="5" t="s">
        <v>102</v>
      </c>
      <c r="L118" s="5" t="s">
        <v>109</v>
      </c>
      <c r="M118" s="5" t="s">
        <v>94</v>
      </c>
      <c r="N118" s="5" t="s">
        <v>268</v>
      </c>
      <c r="O118" s="4"/>
      <c r="P118" s="24">
        <f t="shared" si="21"/>
        <v>22</v>
      </c>
      <c r="Q118" s="8">
        <f t="shared" si="22"/>
        <v>0</v>
      </c>
      <c r="R118" s="8">
        <f t="shared" si="23"/>
        <v>22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>
        <v>1</v>
      </c>
      <c r="AJ118" s="8"/>
      <c r="AK118" s="8"/>
      <c r="AL118" s="8"/>
      <c r="AM118" s="8"/>
      <c r="AN118" s="8">
        <v>8</v>
      </c>
      <c r="AO118" s="8"/>
      <c r="AP118" s="8"/>
      <c r="AQ118" s="8">
        <v>1</v>
      </c>
      <c r="AR118" s="8"/>
      <c r="AS118" s="8"/>
      <c r="AT118" s="8"/>
      <c r="AU118" s="8"/>
      <c r="AV118" s="8"/>
      <c r="AW118" s="8">
        <v>8</v>
      </c>
      <c r="AX118" s="8"/>
      <c r="AY118" s="8"/>
      <c r="AZ118" s="8">
        <v>1</v>
      </c>
      <c r="BA118" s="8"/>
      <c r="BB118" s="8"/>
      <c r="BC118" s="8"/>
      <c r="BD118" s="8"/>
      <c r="BE118" s="8"/>
      <c r="BF118" s="8"/>
      <c r="BG118" s="8"/>
      <c r="BH118" s="8">
        <v>2</v>
      </c>
      <c r="BI118" s="8"/>
      <c r="BJ118" s="8"/>
      <c r="BK118" s="8"/>
      <c r="BL118" s="8"/>
      <c r="BM118" s="8"/>
      <c r="BN118" s="8"/>
      <c r="BO118" s="8">
        <v>1</v>
      </c>
      <c r="BP118" s="8"/>
      <c r="BQ118" s="8"/>
      <c r="BR118" s="8"/>
      <c r="BS118" s="8"/>
      <c r="BT118" s="8"/>
      <c r="BU118" s="8"/>
      <c r="BV118" s="8"/>
      <c r="BW118" s="8"/>
      <c r="BX118" s="8"/>
    </row>
    <row r="119" spans="1:76" ht="16.5" customHeight="1" x14ac:dyDescent="0.3">
      <c r="A119" t="s">
        <v>573</v>
      </c>
      <c r="B119" t="s">
        <v>656</v>
      </c>
      <c r="C119" t="s">
        <v>693</v>
      </c>
      <c r="D119" t="s">
        <v>693</v>
      </c>
      <c r="E119" t="s">
        <v>674</v>
      </c>
      <c r="F119" t="s">
        <v>674</v>
      </c>
      <c r="G119" s="5">
        <v>1495019</v>
      </c>
      <c r="H119" s="7" t="s">
        <v>277</v>
      </c>
      <c r="I119" s="5" t="s">
        <v>253</v>
      </c>
      <c r="J119" s="5">
        <v>1</v>
      </c>
      <c r="K119" s="5" t="s">
        <v>102</v>
      </c>
      <c r="L119" s="5" t="s">
        <v>109</v>
      </c>
      <c r="M119" s="5" t="s">
        <v>94</v>
      </c>
      <c r="N119" s="5" t="s">
        <v>268</v>
      </c>
      <c r="O119" s="4"/>
      <c r="P119" s="24">
        <f t="shared" si="21"/>
        <v>21</v>
      </c>
      <c r="Q119" s="8">
        <f t="shared" si="22"/>
        <v>0</v>
      </c>
      <c r="R119" s="8">
        <f t="shared" si="23"/>
        <v>21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>
        <v>1</v>
      </c>
      <c r="AH119" s="8"/>
      <c r="AI119" s="8"/>
      <c r="AJ119" s="8"/>
      <c r="AK119" s="8"/>
      <c r="AL119" s="8"/>
      <c r="AM119" s="8"/>
      <c r="AN119" s="8"/>
      <c r="AO119" s="8"/>
      <c r="AP119" s="8"/>
      <c r="AQ119" s="8">
        <v>3</v>
      </c>
      <c r="AR119" s="8"/>
      <c r="AS119" s="8"/>
      <c r="AT119" s="8"/>
      <c r="AU119" s="8">
        <v>1</v>
      </c>
      <c r="AV119" s="8">
        <v>2</v>
      </c>
      <c r="AW119" s="8"/>
      <c r="AX119" s="8"/>
      <c r="AY119" s="8"/>
      <c r="AZ119" s="8">
        <v>10</v>
      </c>
      <c r="BA119" s="8"/>
      <c r="BB119" s="8"/>
      <c r="BC119" s="8"/>
      <c r="BD119" s="8">
        <v>2</v>
      </c>
      <c r="BE119" s="8"/>
      <c r="BF119" s="8"/>
      <c r="BG119" s="8"/>
      <c r="BH119" s="8">
        <v>2</v>
      </c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</row>
    <row r="120" spans="1:76" ht="16.5" customHeight="1" x14ac:dyDescent="0.3">
      <c r="A120" t="s">
        <v>573</v>
      </c>
      <c r="B120" t="s">
        <v>656</v>
      </c>
      <c r="C120" t="s">
        <v>693</v>
      </c>
      <c r="D120" t="s">
        <v>693</v>
      </c>
      <c r="E120" t="s">
        <v>697</v>
      </c>
      <c r="F120" t="s">
        <v>697</v>
      </c>
      <c r="G120" s="5">
        <v>1495026</v>
      </c>
      <c r="H120" s="7" t="s">
        <v>318</v>
      </c>
      <c r="I120" s="5" t="s">
        <v>253</v>
      </c>
      <c r="J120" s="5">
        <v>1</v>
      </c>
      <c r="K120" s="5" t="s">
        <v>102</v>
      </c>
      <c r="L120" s="5" t="s">
        <v>109</v>
      </c>
      <c r="M120" s="5" t="s">
        <v>94</v>
      </c>
      <c r="N120" s="5" t="s">
        <v>268</v>
      </c>
      <c r="O120" s="4"/>
      <c r="P120" s="24">
        <f t="shared" si="21"/>
        <v>11</v>
      </c>
      <c r="Q120" s="8">
        <f t="shared" si="22"/>
        <v>0</v>
      </c>
      <c r="R120" s="8">
        <f t="shared" si="23"/>
        <v>11</v>
      </c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>
        <v>1</v>
      </c>
      <c r="AK120" s="8"/>
      <c r="AL120" s="8"/>
      <c r="AM120" s="8"/>
      <c r="AN120" s="8"/>
      <c r="AO120" s="8"/>
      <c r="AP120" s="8"/>
      <c r="AQ120" s="8">
        <v>2</v>
      </c>
      <c r="AR120" s="8"/>
      <c r="AS120" s="8"/>
      <c r="AT120" s="8"/>
      <c r="AU120" s="8">
        <v>1</v>
      </c>
      <c r="AV120" s="8"/>
      <c r="AW120" s="8">
        <v>1</v>
      </c>
      <c r="AX120" s="8"/>
      <c r="AY120" s="8"/>
      <c r="AZ120" s="8">
        <v>3</v>
      </c>
      <c r="BA120" s="8"/>
      <c r="BB120" s="8"/>
      <c r="BC120" s="8"/>
      <c r="BD120" s="8">
        <v>2</v>
      </c>
      <c r="BE120" s="8"/>
      <c r="BF120" s="8"/>
      <c r="BG120" s="8"/>
      <c r="BH120" s="8">
        <v>1</v>
      </c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</row>
    <row r="121" spans="1:76" ht="16.5" customHeight="1" x14ac:dyDescent="0.3">
      <c r="A121" t="s">
        <v>573</v>
      </c>
      <c r="B121" t="s">
        <v>656</v>
      </c>
      <c r="C121" t="s">
        <v>693</v>
      </c>
      <c r="D121" t="s">
        <v>693</v>
      </c>
      <c r="E121" t="s">
        <v>698</v>
      </c>
      <c r="F121" t="s">
        <v>698</v>
      </c>
      <c r="G121" s="5">
        <v>1495032</v>
      </c>
      <c r="H121" s="7" t="s">
        <v>319</v>
      </c>
      <c r="I121" s="5" t="s">
        <v>253</v>
      </c>
      <c r="J121" s="5">
        <v>1</v>
      </c>
      <c r="K121" s="5" t="s">
        <v>102</v>
      </c>
      <c r="L121" s="5" t="s">
        <v>109</v>
      </c>
      <c r="M121" s="5" t="s">
        <v>94</v>
      </c>
      <c r="N121" s="5" t="s">
        <v>268</v>
      </c>
      <c r="O121" s="4"/>
      <c r="P121" s="24">
        <f t="shared" si="21"/>
        <v>8</v>
      </c>
      <c r="Q121" s="8">
        <f t="shared" si="22"/>
        <v>0</v>
      </c>
      <c r="R121" s="8">
        <f t="shared" si="23"/>
        <v>8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>
        <v>1</v>
      </c>
      <c r="AL121" s="8"/>
      <c r="AM121" s="8"/>
      <c r="AN121" s="8"/>
      <c r="AO121" s="8"/>
      <c r="AP121" s="8"/>
      <c r="AQ121" s="8">
        <v>3</v>
      </c>
      <c r="AR121" s="8"/>
      <c r="AS121" s="8"/>
      <c r="AT121" s="8"/>
      <c r="AU121" s="8"/>
      <c r="AV121" s="8"/>
      <c r="AW121" s="8"/>
      <c r="AX121" s="8"/>
      <c r="AY121" s="8"/>
      <c r="AZ121" s="8">
        <v>4</v>
      </c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</row>
    <row r="122" spans="1:76" ht="16.5" customHeight="1" x14ac:dyDescent="0.3">
      <c r="A122" t="s">
        <v>573</v>
      </c>
      <c r="B122" t="s">
        <v>656</v>
      </c>
      <c r="C122" t="s">
        <v>693</v>
      </c>
      <c r="D122" t="s">
        <v>693</v>
      </c>
      <c r="E122" t="s">
        <v>676</v>
      </c>
      <c r="F122" t="s">
        <v>676</v>
      </c>
      <c r="G122" s="5">
        <v>1495037</v>
      </c>
      <c r="H122" s="7" t="s">
        <v>279</v>
      </c>
      <c r="I122" s="5" t="s">
        <v>253</v>
      </c>
      <c r="J122" s="5">
        <v>1</v>
      </c>
      <c r="K122" s="5" t="s">
        <v>102</v>
      </c>
      <c r="L122" s="5" t="s">
        <v>109</v>
      </c>
      <c r="M122" s="5" t="s">
        <v>94</v>
      </c>
      <c r="N122" s="5" t="s">
        <v>268</v>
      </c>
      <c r="O122" s="4"/>
      <c r="P122" s="24">
        <f t="shared" si="21"/>
        <v>22</v>
      </c>
      <c r="Q122" s="8">
        <f t="shared" si="22"/>
        <v>0</v>
      </c>
      <c r="R122" s="8">
        <f t="shared" si="23"/>
        <v>22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>
        <v>1</v>
      </c>
      <c r="AK122" s="8"/>
      <c r="AL122" s="8"/>
      <c r="AM122" s="8"/>
      <c r="AN122" s="8"/>
      <c r="AO122" s="8"/>
      <c r="AP122" s="8"/>
      <c r="AQ122" s="8">
        <v>7</v>
      </c>
      <c r="AR122" s="8"/>
      <c r="AS122" s="8"/>
      <c r="AT122" s="8"/>
      <c r="AU122" s="8"/>
      <c r="AV122" s="8">
        <v>1</v>
      </c>
      <c r="AW122" s="8"/>
      <c r="AX122" s="8"/>
      <c r="AY122" s="8"/>
      <c r="AZ122" s="8">
        <v>6</v>
      </c>
      <c r="BA122" s="8"/>
      <c r="BB122" s="8"/>
      <c r="BC122" s="8"/>
      <c r="BD122" s="8"/>
      <c r="BE122" s="8">
        <v>5</v>
      </c>
      <c r="BF122" s="8"/>
      <c r="BG122" s="8"/>
      <c r="BH122" s="8">
        <v>2</v>
      </c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</row>
    <row r="123" spans="1:76" ht="16.5" customHeight="1" x14ac:dyDescent="0.3">
      <c r="A123" t="s">
        <v>573</v>
      </c>
      <c r="B123" t="s">
        <v>656</v>
      </c>
      <c r="C123" t="s">
        <v>693</v>
      </c>
      <c r="D123" t="s">
        <v>693</v>
      </c>
      <c r="E123" t="s">
        <v>653</v>
      </c>
      <c r="F123" t="s">
        <v>653</v>
      </c>
      <c r="G123" s="5">
        <v>1495042</v>
      </c>
      <c r="H123" s="7" t="s">
        <v>217</v>
      </c>
      <c r="I123" s="5" t="s">
        <v>253</v>
      </c>
      <c r="J123" s="5">
        <v>1</v>
      </c>
      <c r="K123" s="5" t="s">
        <v>102</v>
      </c>
      <c r="L123" s="5" t="s">
        <v>109</v>
      </c>
      <c r="M123" s="5" t="s">
        <v>94</v>
      </c>
      <c r="N123" s="5" t="s">
        <v>268</v>
      </c>
      <c r="O123" s="4"/>
      <c r="P123" s="24">
        <f t="shared" si="21"/>
        <v>26</v>
      </c>
      <c r="Q123" s="8">
        <f t="shared" si="22"/>
        <v>0</v>
      </c>
      <c r="R123" s="8">
        <f t="shared" si="23"/>
        <v>26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>
        <v>1</v>
      </c>
      <c r="AL123" s="8"/>
      <c r="AM123" s="8"/>
      <c r="AN123" s="8"/>
      <c r="AO123" s="8"/>
      <c r="AP123" s="8"/>
      <c r="AQ123" s="8">
        <v>7</v>
      </c>
      <c r="AR123" s="8"/>
      <c r="AS123" s="8"/>
      <c r="AT123" s="8"/>
      <c r="AU123" s="8">
        <v>3</v>
      </c>
      <c r="AV123" s="8">
        <v>1</v>
      </c>
      <c r="AW123" s="8"/>
      <c r="AX123" s="8"/>
      <c r="AY123" s="8"/>
      <c r="AZ123" s="8">
        <v>7</v>
      </c>
      <c r="BA123" s="8"/>
      <c r="BB123" s="8"/>
      <c r="BC123" s="8"/>
      <c r="BD123" s="8">
        <v>4</v>
      </c>
      <c r="BE123" s="8">
        <v>1</v>
      </c>
      <c r="BF123" s="8"/>
      <c r="BG123" s="8"/>
      <c r="BH123" s="8">
        <v>2</v>
      </c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</row>
    <row r="124" spans="1:76" ht="16.5" customHeight="1" x14ac:dyDescent="0.3">
      <c r="G124" s="14">
        <v>1495043</v>
      </c>
      <c r="H124" s="15" t="s">
        <v>320</v>
      </c>
      <c r="I124" s="14" t="s">
        <v>253</v>
      </c>
      <c r="J124" s="14">
        <v>2</v>
      </c>
      <c r="K124" s="14" t="s">
        <v>254</v>
      </c>
      <c r="L124" s="14" t="s">
        <v>255</v>
      </c>
      <c r="M124" s="14" t="s">
        <v>94</v>
      </c>
      <c r="N124" s="14" t="s">
        <v>110</v>
      </c>
      <c r="O124" s="13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</row>
    <row r="125" spans="1:76" ht="16.5" customHeight="1" x14ac:dyDescent="0.3">
      <c r="A125" t="s">
        <v>573</v>
      </c>
      <c r="B125" t="s">
        <v>656</v>
      </c>
      <c r="C125" t="s">
        <v>693</v>
      </c>
      <c r="D125" t="s">
        <v>699</v>
      </c>
      <c r="E125" t="s">
        <v>699</v>
      </c>
      <c r="F125" t="s">
        <v>699</v>
      </c>
      <c r="G125" s="5">
        <v>1495043</v>
      </c>
      <c r="H125" s="38" t="s">
        <v>321</v>
      </c>
      <c r="I125" s="5" t="s">
        <v>253</v>
      </c>
      <c r="J125" s="5">
        <v>2</v>
      </c>
      <c r="K125" s="5" t="s">
        <v>254</v>
      </c>
      <c r="L125" s="5" t="s">
        <v>255</v>
      </c>
      <c r="M125" s="5" t="s">
        <v>94</v>
      </c>
      <c r="N125" s="5" t="s">
        <v>110</v>
      </c>
      <c r="O125" s="4"/>
      <c r="P125" s="24">
        <f t="shared" ref="P125:P139" si="24">SUM(Q125,R125)</f>
        <v>1</v>
      </c>
      <c r="Q125" s="8">
        <f t="shared" ref="Q125:Q139" si="25">S125</f>
        <v>0</v>
      </c>
      <c r="R125" s="8">
        <f t="shared" ref="R125:R139" si="26">SUM(T125:BX125)</f>
        <v>1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>
        <v>1</v>
      </c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</row>
    <row r="126" spans="1:76" ht="16.5" customHeight="1" x14ac:dyDescent="0.3">
      <c r="A126" t="s">
        <v>573</v>
      </c>
      <c r="B126" t="s">
        <v>656</v>
      </c>
      <c r="C126" t="s">
        <v>693</v>
      </c>
      <c r="D126" t="s">
        <v>699</v>
      </c>
      <c r="E126" t="s">
        <v>700</v>
      </c>
      <c r="F126" t="s">
        <v>700</v>
      </c>
      <c r="G126" s="5">
        <v>1495055</v>
      </c>
      <c r="H126" s="7" t="s">
        <v>322</v>
      </c>
      <c r="I126" s="5" t="s">
        <v>253</v>
      </c>
      <c r="J126" s="5">
        <v>2</v>
      </c>
      <c r="K126" s="5" t="s">
        <v>102</v>
      </c>
      <c r="L126" s="5" t="s">
        <v>109</v>
      </c>
      <c r="M126" s="5" t="s">
        <v>94</v>
      </c>
      <c r="N126" s="5" t="s">
        <v>283</v>
      </c>
      <c r="O126" s="4"/>
      <c r="P126" s="24">
        <f t="shared" si="24"/>
        <v>42</v>
      </c>
      <c r="Q126" s="8">
        <f t="shared" si="25"/>
        <v>0</v>
      </c>
      <c r="R126" s="8">
        <f t="shared" si="26"/>
        <v>42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>
        <v>1</v>
      </c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>
        <v>4</v>
      </c>
      <c r="AQ126" s="8"/>
      <c r="AR126" s="8"/>
      <c r="AS126" s="8"/>
      <c r="AT126" s="8"/>
      <c r="AU126" s="8"/>
      <c r="AV126" s="8"/>
      <c r="AW126" s="8"/>
      <c r="AX126" s="8"/>
      <c r="AY126" s="8">
        <v>6</v>
      </c>
      <c r="AZ126" s="8"/>
      <c r="BA126" s="8"/>
      <c r="BB126" s="8"/>
      <c r="BC126" s="8">
        <v>1</v>
      </c>
      <c r="BD126" s="8"/>
      <c r="BE126" s="8"/>
      <c r="BF126" s="8"/>
      <c r="BG126" s="8"/>
      <c r="BH126" s="8"/>
      <c r="BI126" s="8"/>
      <c r="BJ126" s="8">
        <v>13</v>
      </c>
      <c r="BK126" s="8"/>
      <c r="BL126" s="8">
        <v>2</v>
      </c>
      <c r="BM126" s="8"/>
      <c r="BN126" s="8"/>
      <c r="BO126" s="8"/>
      <c r="BP126" s="8"/>
      <c r="BQ126" s="8">
        <v>11</v>
      </c>
      <c r="BR126" s="8"/>
      <c r="BS126" s="8">
        <v>4</v>
      </c>
      <c r="BT126" s="8"/>
      <c r="BU126" s="8"/>
      <c r="BV126" s="8"/>
      <c r="BW126" s="8"/>
      <c r="BX126" s="8"/>
    </row>
    <row r="127" spans="1:76" ht="16.5" customHeight="1" x14ac:dyDescent="0.3">
      <c r="A127" t="s">
        <v>573</v>
      </c>
      <c r="B127" t="s">
        <v>656</v>
      </c>
      <c r="C127" t="s">
        <v>693</v>
      </c>
      <c r="D127" t="s">
        <v>699</v>
      </c>
      <c r="E127" t="s">
        <v>701</v>
      </c>
      <c r="F127" t="s">
        <v>701</v>
      </c>
      <c r="G127" s="5">
        <v>1495063</v>
      </c>
      <c r="H127" s="7" t="s">
        <v>323</v>
      </c>
      <c r="I127" s="5" t="s">
        <v>253</v>
      </c>
      <c r="J127" s="5">
        <v>2</v>
      </c>
      <c r="K127" s="5" t="s">
        <v>102</v>
      </c>
      <c r="L127" s="5" t="s">
        <v>109</v>
      </c>
      <c r="M127" s="5" t="s">
        <v>94</v>
      </c>
      <c r="N127" s="5" t="s">
        <v>283</v>
      </c>
      <c r="O127" s="4"/>
      <c r="P127" s="24">
        <f t="shared" si="24"/>
        <v>9</v>
      </c>
      <c r="Q127" s="8">
        <f t="shared" si="25"/>
        <v>0</v>
      </c>
      <c r="R127" s="8">
        <f t="shared" si="26"/>
        <v>9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>
        <v>1</v>
      </c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>
        <v>2</v>
      </c>
      <c r="AZ127" s="8"/>
      <c r="BA127" s="8"/>
      <c r="BB127" s="8"/>
      <c r="BC127" s="8"/>
      <c r="BD127" s="8"/>
      <c r="BE127" s="8"/>
      <c r="BF127" s="8"/>
      <c r="BG127" s="8"/>
      <c r="BH127" s="8">
        <v>1</v>
      </c>
      <c r="BI127" s="8"/>
      <c r="BJ127" s="8">
        <v>1</v>
      </c>
      <c r="BK127" s="8"/>
      <c r="BL127" s="8">
        <v>1</v>
      </c>
      <c r="BM127" s="8"/>
      <c r="BN127" s="8"/>
      <c r="BO127" s="8"/>
      <c r="BP127" s="8"/>
      <c r="BQ127" s="8">
        <v>3</v>
      </c>
      <c r="BR127" s="8"/>
      <c r="BS127" s="8"/>
      <c r="BT127" s="8"/>
      <c r="BU127" s="8"/>
      <c r="BV127" s="8"/>
      <c r="BW127" s="8"/>
      <c r="BX127" s="8"/>
    </row>
    <row r="128" spans="1:76" ht="16.5" customHeight="1" x14ac:dyDescent="0.3">
      <c r="A128" t="s">
        <v>573</v>
      </c>
      <c r="B128" t="s">
        <v>656</v>
      </c>
      <c r="C128" t="s">
        <v>693</v>
      </c>
      <c r="D128" t="s">
        <v>699</v>
      </c>
      <c r="E128" t="s">
        <v>702</v>
      </c>
      <c r="F128" t="s">
        <v>702</v>
      </c>
      <c r="G128" s="5">
        <v>1495071</v>
      </c>
      <c r="H128" s="7" t="s">
        <v>324</v>
      </c>
      <c r="I128" s="5" t="s">
        <v>253</v>
      </c>
      <c r="J128" s="5">
        <v>2</v>
      </c>
      <c r="K128" s="5" t="s">
        <v>102</v>
      </c>
      <c r="L128" s="5" t="s">
        <v>109</v>
      </c>
      <c r="M128" s="5" t="s">
        <v>94</v>
      </c>
      <c r="N128" s="5" t="s">
        <v>283</v>
      </c>
      <c r="O128" s="4"/>
      <c r="P128" s="24">
        <f t="shared" si="24"/>
        <v>22</v>
      </c>
      <c r="Q128" s="8">
        <f t="shared" si="25"/>
        <v>0</v>
      </c>
      <c r="R128" s="8">
        <f t="shared" si="26"/>
        <v>22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>
        <v>1</v>
      </c>
      <c r="AK128" s="8"/>
      <c r="AL128" s="8"/>
      <c r="AM128" s="8"/>
      <c r="AN128" s="8"/>
      <c r="AO128" s="8"/>
      <c r="AP128" s="8">
        <v>2</v>
      </c>
      <c r="AQ128" s="8"/>
      <c r="AR128" s="8"/>
      <c r="AS128" s="8"/>
      <c r="AT128" s="8"/>
      <c r="AU128" s="8"/>
      <c r="AV128" s="8"/>
      <c r="AW128" s="8">
        <v>1</v>
      </c>
      <c r="AX128" s="8"/>
      <c r="AY128" s="8">
        <v>5</v>
      </c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>
        <v>5</v>
      </c>
      <c r="BK128" s="8"/>
      <c r="BL128" s="8">
        <v>1</v>
      </c>
      <c r="BM128" s="8"/>
      <c r="BN128" s="8"/>
      <c r="BO128" s="8"/>
      <c r="BP128" s="8"/>
      <c r="BQ128" s="8">
        <v>6</v>
      </c>
      <c r="BR128" s="8"/>
      <c r="BS128" s="8">
        <v>1</v>
      </c>
      <c r="BT128" s="8"/>
      <c r="BU128" s="8"/>
      <c r="BV128" s="8"/>
      <c r="BW128" s="8"/>
      <c r="BX128" s="8"/>
    </row>
    <row r="129" spans="1:76" ht="16.5" customHeight="1" x14ac:dyDescent="0.3">
      <c r="A129" t="s">
        <v>573</v>
      </c>
      <c r="B129" t="s">
        <v>656</v>
      </c>
      <c r="C129" t="s">
        <v>693</v>
      </c>
      <c r="D129" t="s">
        <v>699</v>
      </c>
      <c r="E129" t="s">
        <v>703</v>
      </c>
      <c r="F129" t="s">
        <v>703</v>
      </c>
      <c r="G129" s="5">
        <v>1495084</v>
      </c>
      <c r="H129" s="7" t="s">
        <v>325</v>
      </c>
      <c r="I129" s="5" t="s">
        <v>253</v>
      </c>
      <c r="J129" s="5">
        <v>2</v>
      </c>
      <c r="K129" s="5" t="s">
        <v>102</v>
      </c>
      <c r="L129" s="5" t="s">
        <v>109</v>
      </c>
      <c r="M129" s="5" t="s">
        <v>94</v>
      </c>
      <c r="N129" s="5" t="s">
        <v>283</v>
      </c>
      <c r="O129" s="4"/>
      <c r="P129" s="24">
        <f t="shared" si="24"/>
        <v>9</v>
      </c>
      <c r="Q129" s="8">
        <f t="shared" si="25"/>
        <v>0</v>
      </c>
      <c r="R129" s="8">
        <f t="shared" si="26"/>
        <v>9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>
        <v>1</v>
      </c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>
        <v>1</v>
      </c>
      <c r="AX129" s="8"/>
      <c r="AY129" s="8">
        <v>3</v>
      </c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>
        <v>1</v>
      </c>
      <c r="BK129" s="8"/>
      <c r="BL129" s="8">
        <v>1</v>
      </c>
      <c r="BM129" s="8"/>
      <c r="BN129" s="8"/>
      <c r="BO129" s="8"/>
      <c r="BP129" s="8"/>
      <c r="BQ129" s="8">
        <v>2</v>
      </c>
      <c r="BR129" s="8"/>
      <c r="BS129" s="8"/>
      <c r="BT129" s="8"/>
      <c r="BU129" s="8"/>
      <c r="BV129" s="8"/>
      <c r="BW129" s="8"/>
      <c r="BX129" s="8"/>
    </row>
    <row r="130" spans="1:76" ht="16.5" customHeight="1" x14ac:dyDescent="0.3">
      <c r="A130" t="s">
        <v>573</v>
      </c>
      <c r="B130" t="s">
        <v>656</v>
      </c>
      <c r="C130" t="s">
        <v>693</v>
      </c>
      <c r="D130" t="s">
        <v>699</v>
      </c>
      <c r="E130" t="s">
        <v>704</v>
      </c>
      <c r="F130" t="s">
        <v>704</v>
      </c>
      <c r="G130" s="5">
        <v>1495112</v>
      </c>
      <c r="H130" s="7" t="s">
        <v>326</v>
      </c>
      <c r="I130" s="5" t="s">
        <v>253</v>
      </c>
      <c r="J130" s="5">
        <v>2</v>
      </c>
      <c r="K130" s="5" t="s">
        <v>102</v>
      </c>
      <c r="L130" s="5" t="s">
        <v>109</v>
      </c>
      <c r="M130" s="5" t="s">
        <v>94</v>
      </c>
      <c r="N130" s="5" t="s">
        <v>283</v>
      </c>
      <c r="O130" s="4"/>
      <c r="P130" s="24">
        <f t="shared" si="24"/>
        <v>11</v>
      </c>
      <c r="Q130" s="8">
        <f t="shared" si="25"/>
        <v>0</v>
      </c>
      <c r="R130" s="8">
        <f t="shared" si="26"/>
        <v>11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>
        <v>1</v>
      </c>
      <c r="AK130" s="8"/>
      <c r="AL130" s="8"/>
      <c r="AM130" s="8"/>
      <c r="AN130" s="8"/>
      <c r="AO130" s="8"/>
      <c r="AP130" s="8">
        <v>1</v>
      </c>
      <c r="AQ130" s="8"/>
      <c r="AR130" s="8"/>
      <c r="AS130" s="8"/>
      <c r="AT130" s="8"/>
      <c r="AU130" s="8"/>
      <c r="AV130" s="8"/>
      <c r="AW130" s="8"/>
      <c r="AX130" s="8"/>
      <c r="AY130" s="8">
        <v>2</v>
      </c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>
        <v>2</v>
      </c>
      <c r="BK130" s="8"/>
      <c r="BL130" s="8">
        <v>1</v>
      </c>
      <c r="BM130" s="8"/>
      <c r="BN130" s="8"/>
      <c r="BO130" s="8"/>
      <c r="BP130" s="8"/>
      <c r="BQ130" s="8">
        <v>3</v>
      </c>
      <c r="BR130" s="8"/>
      <c r="BS130" s="8">
        <v>1</v>
      </c>
      <c r="BT130" s="8"/>
      <c r="BU130" s="8"/>
      <c r="BV130" s="8"/>
      <c r="BW130" s="8"/>
      <c r="BX130" s="8"/>
    </row>
    <row r="131" spans="1:76" ht="16.5" customHeight="1" x14ac:dyDescent="0.3">
      <c r="A131" t="s">
        <v>573</v>
      </c>
      <c r="B131" t="s">
        <v>656</v>
      </c>
      <c r="C131" t="s">
        <v>693</v>
      </c>
      <c r="D131" t="s">
        <v>699</v>
      </c>
      <c r="E131" t="s">
        <v>665</v>
      </c>
      <c r="F131" t="s">
        <v>665</v>
      </c>
      <c r="G131" s="5">
        <v>1495147</v>
      </c>
      <c r="H131" s="7" t="s">
        <v>284</v>
      </c>
      <c r="I131" s="5" t="s">
        <v>253</v>
      </c>
      <c r="J131" s="5">
        <v>2</v>
      </c>
      <c r="K131" s="5" t="s">
        <v>102</v>
      </c>
      <c r="L131" s="5" t="s">
        <v>109</v>
      </c>
      <c r="M131" s="5" t="s">
        <v>94</v>
      </c>
      <c r="N131" s="5" t="s">
        <v>285</v>
      </c>
      <c r="O131" s="4"/>
      <c r="P131" s="24">
        <f t="shared" si="24"/>
        <v>13.5</v>
      </c>
      <c r="Q131" s="8">
        <f t="shared" si="25"/>
        <v>0</v>
      </c>
      <c r="R131" s="8">
        <f t="shared" si="26"/>
        <v>13.5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>
        <v>1</v>
      </c>
      <c r="AK131" s="8"/>
      <c r="AL131" s="8"/>
      <c r="AM131" s="8"/>
      <c r="AN131" s="8">
        <v>1</v>
      </c>
      <c r="AO131" s="8"/>
      <c r="AP131" s="8"/>
      <c r="AQ131" s="8"/>
      <c r="AR131" s="8"/>
      <c r="AS131" s="8"/>
      <c r="AT131" s="8"/>
      <c r="AU131" s="8"/>
      <c r="AV131" s="8"/>
      <c r="AW131" s="8">
        <v>1</v>
      </c>
      <c r="AX131" s="8"/>
      <c r="AY131" s="8">
        <v>3</v>
      </c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>
        <v>1.5</v>
      </c>
      <c r="BK131" s="8"/>
      <c r="BL131" s="8">
        <v>1</v>
      </c>
      <c r="BM131" s="8"/>
      <c r="BN131" s="8"/>
      <c r="BO131" s="8"/>
      <c r="BP131" s="8"/>
      <c r="BQ131" s="8">
        <v>4</v>
      </c>
      <c r="BR131" s="8"/>
      <c r="BS131" s="8">
        <v>1</v>
      </c>
      <c r="BT131" s="8"/>
      <c r="BU131" s="8"/>
      <c r="BV131" s="8"/>
      <c r="BW131" s="8"/>
      <c r="BX131" s="8"/>
    </row>
    <row r="132" spans="1:76" ht="16.5" customHeight="1" x14ac:dyDescent="0.3">
      <c r="A132" t="s">
        <v>573</v>
      </c>
      <c r="B132" t="s">
        <v>656</v>
      </c>
      <c r="C132" t="s">
        <v>693</v>
      </c>
      <c r="D132" t="s">
        <v>699</v>
      </c>
      <c r="E132" t="s">
        <v>666</v>
      </c>
      <c r="F132" t="s">
        <v>666</v>
      </c>
      <c r="G132" s="5">
        <v>1495181</v>
      </c>
      <c r="H132" s="7" t="s">
        <v>286</v>
      </c>
      <c r="I132" s="5" t="s">
        <v>253</v>
      </c>
      <c r="J132" s="5">
        <v>2</v>
      </c>
      <c r="K132" s="5" t="s">
        <v>102</v>
      </c>
      <c r="L132" s="5" t="s">
        <v>109</v>
      </c>
      <c r="M132" s="5" t="s">
        <v>94</v>
      </c>
      <c r="N132" s="5" t="s">
        <v>285</v>
      </c>
      <c r="O132" s="4"/>
      <c r="P132" s="24">
        <f t="shared" si="24"/>
        <v>18</v>
      </c>
      <c r="Q132" s="8">
        <f t="shared" si="25"/>
        <v>0</v>
      </c>
      <c r="R132" s="8">
        <f t="shared" si="26"/>
        <v>18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>
        <v>1</v>
      </c>
      <c r="AK132" s="8"/>
      <c r="AL132" s="8"/>
      <c r="AM132" s="8"/>
      <c r="AN132" s="8">
        <v>2</v>
      </c>
      <c r="AO132" s="8"/>
      <c r="AP132" s="8"/>
      <c r="AQ132" s="8"/>
      <c r="AR132" s="8"/>
      <c r="AS132" s="8"/>
      <c r="AT132" s="8"/>
      <c r="AU132" s="8"/>
      <c r="AV132" s="8"/>
      <c r="AW132" s="8">
        <v>1</v>
      </c>
      <c r="AX132" s="8"/>
      <c r="AY132" s="8">
        <v>2</v>
      </c>
      <c r="AZ132" s="8"/>
      <c r="BA132" s="8"/>
      <c r="BB132" s="8"/>
      <c r="BC132" s="8"/>
      <c r="BD132" s="8"/>
      <c r="BE132" s="8"/>
      <c r="BF132" s="8"/>
      <c r="BG132" s="8"/>
      <c r="BH132" s="8">
        <v>2</v>
      </c>
      <c r="BI132" s="8"/>
      <c r="BJ132" s="8">
        <v>3</v>
      </c>
      <c r="BK132" s="8"/>
      <c r="BL132" s="8">
        <v>1</v>
      </c>
      <c r="BM132" s="8"/>
      <c r="BN132" s="8"/>
      <c r="BO132" s="8"/>
      <c r="BP132" s="8"/>
      <c r="BQ132" s="8">
        <v>3</v>
      </c>
      <c r="BR132" s="8"/>
      <c r="BS132" s="8">
        <v>1</v>
      </c>
      <c r="BT132" s="8"/>
      <c r="BU132" s="8">
        <v>1</v>
      </c>
      <c r="BV132" s="8">
        <v>1</v>
      </c>
      <c r="BW132" s="8"/>
      <c r="BX132" s="8"/>
    </row>
    <row r="133" spans="1:76" ht="16.5" customHeight="1" x14ac:dyDescent="0.3">
      <c r="A133" t="s">
        <v>573</v>
      </c>
      <c r="B133" t="s">
        <v>656</v>
      </c>
      <c r="C133" t="s">
        <v>693</v>
      </c>
      <c r="D133" t="s">
        <v>699</v>
      </c>
      <c r="E133" t="s">
        <v>670</v>
      </c>
      <c r="F133" t="s">
        <v>670</v>
      </c>
      <c r="G133" s="5">
        <v>1495212</v>
      </c>
      <c r="H133" s="7" t="s">
        <v>288</v>
      </c>
      <c r="I133" s="5" t="s">
        <v>253</v>
      </c>
      <c r="J133" s="5">
        <v>2</v>
      </c>
      <c r="K133" s="5" t="s">
        <v>102</v>
      </c>
      <c r="L133" s="5" t="s">
        <v>109</v>
      </c>
      <c r="M133" s="5" t="s">
        <v>94</v>
      </c>
      <c r="N133" s="5" t="s">
        <v>285</v>
      </c>
      <c r="O133" s="4"/>
      <c r="P133" s="24">
        <f t="shared" si="24"/>
        <v>33</v>
      </c>
      <c r="Q133" s="8">
        <f t="shared" si="25"/>
        <v>0</v>
      </c>
      <c r="R133" s="8">
        <f t="shared" si="26"/>
        <v>33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>
        <v>1</v>
      </c>
      <c r="AJ133" s="8"/>
      <c r="AK133" s="8"/>
      <c r="AL133" s="8"/>
      <c r="AM133" s="8"/>
      <c r="AN133" s="8">
        <v>13</v>
      </c>
      <c r="AO133" s="8"/>
      <c r="AP133" s="8"/>
      <c r="AQ133" s="8"/>
      <c r="AR133" s="8"/>
      <c r="AS133" s="8"/>
      <c r="AT133" s="8"/>
      <c r="AU133" s="8"/>
      <c r="AV133" s="8"/>
      <c r="AW133" s="8">
        <v>14</v>
      </c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>
        <v>4</v>
      </c>
      <c r="BI133" s="8"/>
      <c r="BJ133" s="8"/>
      <c r="BK133" s="8"/>
      <c r="BL133" s="8"/>
      <c r="BM133" s="8"/>
      <c r="BN133" s="8"/>
      <c r="BO133" s="8">
        <v>1</v>
      </c>
      <c r="BP133" s="8"/>
      <c r="BQ133" s="8"/>
      <c r="BR133" s="8"/>
      <c r="BS133" s="8"/>
      <c r="BT133" s="8"/>
      <c r="BU133" s="8"/>
      <c r="BV133" s="8"/>
      <c r="BW133" s="8"/>
      <c r="BX133" s="8"/>
    </row>
    <row r="134" spans="1:76" ht="16.5" customHeight="1" x14ac:dyDescent="0.3">
      <c r="A134" t="s">
        <v>573</v>
      </c>
      <c r="B134" t="s">
        <v>656</v>
      </c>
      <c r="C134" t="s">
        <v>693</v>
      </c>
      <c r="D134" t="s">
        <v>699</v>
      </c>
      <c r="E134" t="s">
        <v>671</v>
      </c>
      <c r="F134" t="s">
        <v>671</v>
      </c>
      <c r="G134" s="5">
        <v>1495236</v>
      </c>
      <c r="H134" s="7" t="s">
        <v>289</v>
      </c>
      <c r="I134" s="5" t="s">
        <v>253</v>
      </c>
      <c r="J134" s="5">
        <v>2</v>
      </c>
      <c r="K134" s="5" t="s">
        <v>102</v>
      </c>
      <c r="L134" s="5" t="s">
        <v>109</v>
      </c>
      <c r="M134" s="5" t="s">
        <v>94</v>
      </c>
      <c r="N134" s="5" t="s">
        <v>285</v>
      </c>
      <c r="O134" s="4"/>
      <c r="P134" s="24">
        <f t="shared" si="24"/>
        <v>18</v>
      </c>
      <c r="Q134" s="8">
        <f t="shared" si="25"/>
        <v>0</v>
      </c>
      <c r="R134" s="8">
        <f t="shared" si="26"/>
        <v>18</v>
      </c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>
        <v>1</v>
      </c>
      <c r="AJ134" s="8"/>
      <c r="AK134" s="8"/>
      <c r="AL134" s="8"/>
      <c r="AM134" s="8"/>
      <c r="AN134" s="8">
        <v>7</v>
      </c>
      <c r="AO134" s="8"/>
      <c r="AP134" s="8"/>
      <c r="AQ134" s="8"/>
      <c r="AR134" s="8"/>
      <c r="AS134" s="8"/>
      <c r="AT134" s="8"/>
      <c r="AU134" s="8"/>
      <c r="AV134" s="8"/>
      <c r="AW134" s="8">
        <v>7</v>
      </c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>
        <v>2</v>
      </c>
      <c r="BI134" s="8"/>
      <c r="BJ134" s="8"/>
      <c r="BK134" s="8"/>
      <c r="BL134" s="8"/>
      <c r="BM134" s="8"/>
      <c r="BN134" s="8"/>
      <c r="BO134" s="8">
        <v>1</v>
      </c>
      <c r="BP134" s="8"/>
      <c r="BQ134" s="8"/>
      <c r="BR134" s="8"/>
      <c r="BS134" s="8"/>
      <c r="BT134" s="8"/>
      <c r="BU134" s="8"/>
      <c r="BV134" s="8"/>
      <c r="BW134" s="8"/>
      <c r="BX134" s="8"/>
    </row>
    <row r="135" spans="1:76" ht="16.5" customHeight="1" x14ac:dyDescent="0.3">
      <c r="A135" t="s">
        <v>573</v>
      </c>
      <c r="B135" t="s">
        <v>656</v>
      </c>
      <c r="C135" t="s">
        <v>693</v>
      </c>
      <c r="D135" t="s">
        <v>699</v>
      </c>
      <c r="E135" t="s">
        <v>672</v>
      </c>
      <c r="F135" t="s">
        <v>672</v>
      </c>
      <c r="G135" s="5">
        <v>1495258</v>
      </c>
      <c r="H135" s="7" t="s">
        <v>290</v>
      </c>
      <c r="I135" s="5" t="s">
        <v>253</v>
      </c>
      <c r="J135" s="5">
        <v>2</v>
      </c>
      <c r="K135" s="5" t="s">
        <v>102</v>
      </c>
      <c r="L135" s="5" t="s">
        <v>109</v>
      </c>
      <c r="M135" s="5" t="s">
        <v>94</v>
      </c>
      <c r="N135" s="5" t="s">
        <v>285</v>
      </c>
      <c r="O135" s="4"/>
      <c r="P135" s="24">
        <f t="shared" si="24"/>
        <v>18</v>
      </c>
      <c r="Q135" s="8">
        <f t="shared" si="25"/>
        <v>0</v>
      </c>
      <c r="R135" s="8">
        <f t="shared" si="26"/>
        <v>18</v>
      </c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>
        <v>1</v>
      </c>
      <c r="AJ135" s="8"/>
      <c r="AK135" s="8"/>
      <c r="AL135" s="8"/>
      <c r="AM135" s="8"/>
      <c r="AN135" s="8">
        <v>6</v>
      </c>
      <c r="AO135" s="8"/>
      <c r="AP135" s="8"/>
      <c r="AQ135" s="8"/>
      <c r="AR135" s="8"/>
      <c r="AS135" s="8"/>
      <c r="AT135" s="8"/>
      <c r="AU135" s="8"/>
      <c r="AV135" s="8"/>
      <c r="AW135" s="8">
        <v>8</v>
      </c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>
        <v>2</v>
      </c>
      <c r="BI135" s="8"/>
      <c r="BJ135" s="8"/>
      <c r="BK135" s="8"/>
      <c r="BL135" s="8"/>
      <c r="BM135" s="8"/>
      <c r="BN135" s="8"/>
      <c r="BO135" s="8">
        <v>1</v>
      </c>
      <c r="BP135" s="8"/>
      <c r="BQ135" s="8"/>
      <c r="BR135" s="8"/>
      <c r="BS135" s="8"/>
      <c r="BT135" s="8"/>
      <c r="BU135" s="8"/>
      <c r="BV135" s="8"/>
      <c r="BW135" s="8"/>
      <c r="BX135" s="8"/>
    </row>
    <row r="136" spans="1:76" ht="16.5" customHeight="1" x14ac:dyDescent="0.3">
      <c r="A136" t="s">
        <v>573</v>
      </c>
      <c r="B136" t="s">
        <v>656</v>
      </c>
      <c r="C136" t="s">
        <v>693</v>
      </c>
      <c r="D136" t="s">
        <v>699</v>
      </c>
      <c r="E136" t="s">
        <v>679</v>
      </c>
      <c r="F136" t="s">
        <v>679</v>
      </c>
      <c r="G136" s="5">
        <v>1495270</v>
      </c>
      <c r="H136" s="7" t="s">
        <v>291</v>
      </c>
      <c r="I136" s="5" t="s">
        <v>253</v>
      </c>
      <c r="J136" s="5">
        <v>2</v>
      </c>
      <c r="K136" s="5" t="s">
        <v>102</v>
      </c>
      <c r="L136" s="5" t="s">
        <v>109</v>
      </c>
      <c r="M136" s="5" t="s">
        <v>94</v>
      </c>
      <c r="N136" s="5" t="s">
        <v>285</v>
      </c>
      <c r="O136" s="4"/>
      <c r="P136" s="24">
        <f t="shared" si="24"/>
        <v>11</v>
      </c>
      <c r="Q136" s="8">
        <f t="shared" si="25"/>
        <v>0</v>
      </c>
      <c r="R136" s="8">
        <f t="shared" si="26"/>
        <v>11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>
        <v>1</v>
      </c>
      <c r="AJ136" s="8"/>
      <c r="AK136" s="8"/>
      <c r="AL136" s="8"/>
      <c r="AM136" s="8"/>
      <c r="AN136" s="8">
        <v>4</v>
      </c>
      <c r="AO136" s="8"/>
      <c r="AP136" s="8"/>
      <c r="AQ136" s="8"/>
      <c r="AR136" s="8"/>
      <c r="AS136" s="8"/>
      <c r="AT136" s="8"/>
      <c r="AU136" s="8"/>
      <c r="AV136" s="8"/>
      <c r="AW136" s="8">
        <v>5</v>
      </c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>
        <v>1</v>
      </c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</row>
    <row r="137" spans="1:76" ht="16.5" customHeight="1" x14ac:dyDescent="0.3">
      <c r="A137" t="s">
        <v>573</v>
      </c>
      <c r="B137" t="s">
        <v>656</v>
      </c>
      <c r="C137" t="s">
        <v>693</v>
      </c>
      <c r="D137" t="s">
        <v>699</v>
      </c>
      <c r="E137" t="s">
        <v>675</v>
      </c>
      <c r="F137" t="s">
        <v>675</v>
      </c>
      <c r="G137" s="5">
        <v>1495275</v>
      </c>
      <c r="H137" s="7" t="s">
        <v>297</v>
      </c>
      <c r="I137" s="5" t="s">
        <v>253</v>
      </c>
      <c r="J137" s="5">
        <v>2</v>
      </c>
      <c r="K137" s="5" t="s">
        <v>102</v>
      </c>
      <c r="L137" s="5" t="s">
        <v>109</v>
      </c>
      <c r="M137" s="5" t="s">
        <v>94</v>
      </c>
      <c r="N137" s="5" t="s">
        <v>285</v>
      </c>
      <c r="O137" s="4"/>
      <c r="P137" s="24">
        <f t="shared" si="24"/>
        <v>14</v>
      </c>
      <c r="Q137" s="8">
        <f t="shared" si="25"/>
        <v>0</v>
      </c>
      <c r="R137" s="8">
        <f t="shared" si="26"/>
        <v>14</v>
      </c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>
        <v>1</v>
      </c>
      <c r="AK137" s="8"/>
      <c r="AL137" s="8"/>
      <c r="AM137" s="8"/>
      <c r="AN137" s="8"/>
      <c r="AO137" s="8"/>
      <c r="AP137" s="8"/>
      <c r="AQ137" s="8">
        <v>5</v>
      </c>
      <c r="AR137" s="8"/>
      <c r="AS137" s="8"/>
      <c r="AT137" s="8"/>
      <c r="AU137" s="8">
        <v>1</v>
      </c>
      <c r="AV137" s="8"/>
      <c r="AW137" s="8"/>
      <c r="AX137" s="8"/>
      <c r="AY137" s="8"/>
      <c r="AZ137" s="8">
        <v>5</v>
      </c>
      <c r="BA137" s="8"/>
      <c r="BB137" s="8"/>
      <c r="BC137" s="8"/>
      <c r="BD137" s="8">
        <v>2</v>
      </c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</row>
    <row r="138" spans="1:76" ht="16.5" customHeight="1" x14ac:dyDescent="0.3">
      <c r="A138" t="s">
        <v>573</v>
      </c>
      <c r="B138" t="s">
        <v>656</v>
      </c>
      <c r="C138" t="s">
        <v>693</v>
      </c>
      <c r="D138" t="s">
        <v>699</v>
      </c>
      <c r="E138" t="s">
        <v>676</v>
      </c>
      <c r="F138" t="s">
        <v>676</v>
      </c>
      <c r="G138" s="5">
        <v>1495277</v>
      </c>
      <c r="H138" s="7" t="s">
        <v>292</v>
      </c>
      <c r="I138" s="5" t="s">
        <v>253</v>
      </c>
      <c r="J138" s="5">
        <v>2</v>
      </c>
      <c r="K138" s="5" t="s">
        <v>102</v>
      </c>
      <c r="L138" s="5" t="s">
        <v>109</v>
      </c>
      <c r="M138" s="5" t="s">
        <v>94</v>
      </c>
      <c r="N138" s="5" t="s">
        <v>285</v>
      </c>
      <c r="O138" s="4"/>
      <c r="P138" s="24">
        <f t="shared" si="24"/>
        <v>16</v>
      </c>
      <c r="Q138" s="8">
        <f t="shared" si="25"/>
        <v>0</v>
      </c>
      <c r="R138" s="8">
        <f t="shared" si="26"/>
        <v>16</v>
      </c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>
        <v>1</v>
      </c>
      <c r="AK138" s="8"/>
      <c r="AL138" s="8"/>
      <c r="AM138" s="8"/>
      <c r="AN138" s="8"/>
      <c r="AO138" s="8"/>
      <c r="AP138" s="8"/>
      <c r="AQ138" s="8">
        <v>6</v>
      </c>
      <c r="AR138" s="8"/>
      <c r="AS138" s="8"/>
      <c r="AT138" s="8"/>
      <c r="AU138" s="8"/>
      <c r="AV138" s="8"/>
      <c r="AW138" s="8"/>
      <c r="AX138" s="8"/>
      <c r="AY138" s="8"/>
      <c r="AZ138" s="8">
        <v>4</v>
      </c>
      <c r="BA138" s="8"/>
      <c r="BB138" s="8"/>
      <c r="BC138" s="8"/>
      <c r="BD138" s="8">
        <v>2</v>
      </c>
      <c r="BE138" s="8">
        <v>1</v>
      </c>
      <c r="BF138" s="8"/>
      <c r="BG138" s="8"/>
      <c r="BH138" s="8">
        <v>2</v>
      </c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</row>
    <row r="139" spans="1:76" ht="16.5" customHeight="1" x14ac:dyDescent="0.3">
      <c r="A139" t="s">
        <v>573</v>
      </c>
      <c r="B139" t="s">
        <v>656</v>
      </c>
      <c r="C139" t="s">
        <v>693</v>
      </c>
      <c r="D139" t="s">
        <v>699</v>
      </c>
      <c r="E139" t="s">
        <v>653</v>
      </c>
      <c r="F139" t="s">
        <v>653</v>
      </c>
      <c r="G139" s="5">
        <v>1495279</v>
      </c>
      <c r="H139" s="7" t="s">
        <v>327</v>
      </c>
      <c r="I139" s="5" t="s">
        <v>253</v>
      </c>
      <c r="J139" s="5">
        <v>2</v>
      </c>
      <c r="K139" s="5" t="s">
        <v>102</v>
      </c>
      <c r="L139" s="5" t="s">
        <v>109</v>
      </c>
      <c r="M139" s="5" t="s">
        <v>94</v>
      </c>
      <c r="N139" s="5" t="s">
        <v>285</v>
      </c>
      <c r="O139" s="4"/>
      <c r="P139" s="24">
        <f t="shared" si="24"/>
        <v>16</v>
      </c>
      <c r="Q139" s="8">
        <f t="shared" si="25"/>
        <v>0</v>
      </c>
      <c r="R139" s="8">
        <f t="shared" si="26"/>
        <v>16</v>
      </c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>
        <v>1</v>
      </c>
      <c r="AN139" s="8"/>
      <c r="AO139" s="8"/>
      <c r="AP139" s="8"/>
      <c r="AQ139" s="8">
        <v>4</v>
      </c>
      <c r="AR139" s="8"/>
      <c r="AS139" s="8"/>
      <c r="AT139" s="8"/>
      <c r="AU139" s="8">
        <v>2</v>
      </c>
      <c r="AV139" s="8">
        <v>1</v>
      </c>
      <c r="AW139" s="8"/>
      <c r="AX139" s="8"/>
      <c r="AY139" s="8"/>
      <c r="AZ139" s="8">
        <v>5</v>
      </c>
      <c r="BA139" s="8"/>
      <c r="BB139" s="8"/>
      <c r="BC139" s="8"/>
      <c r="BD139" s="8">
        <v>1</v>
      </c>
      <c r="BE139" s="8"/>
      <c r="BF139" s="8"/>
      <c r="BG139" s="8"/>
      <c r="BH139" s="8">
        <v>2</v>
      </c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</row>
    <row r="140" spans="1:76" ht="16.5" customHeight="1" x14ac:dyDescent="0.3">
      <c r="G140" s="14">
        <v>1495044</v>
      </c>
      <c r="H140" s="15" t="s">
        <v>328</v>
      </c>
      <c r="I140" s="14" t="s">
        <v>253</v>
      </c>
      <c r="J140" s="14">
        <v>2</v>
      </c>
      <c r="K140" s="14" t="s">
        <v>254</v>
      </c>
      <c r="L140" s="14" t="s">
        <v>255</v>
      </c>
      <c r="M140" s="14" t="s">
        <v>94</v>
      </c>
      <c r="N140" s="14" t="s">
        <v>110</v>
      </c>
      <c r="O140" s="13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</row>
    <row r="141" spans="1:76" ht="16.5" customHeight="1" x14ac:dyDescent="0.3">
      <c r="A141" t="s">
        <v>573</v>
      </c>
      <c r="B141" t="s">
        <v>656</v>
      </c>
      <c r="C141" t="s">
        <v>693</v>
      </c>
      <c r="D141" t="s">
        <v>705</v>
      </c>
      <c r="E141" t="s">
        <v>705</v>
      </c>
      <c r="F141" t="s">
        <v>705</v>
      </c>
      <c r="G141" s="5">
        <v>1495044</v>
      </c>
      <c r="H141" s="38" t="s">
        <v>329</v>
      </c>
      <c r="I141" s="5" t="s">
        <v>253</v>
      </c>
      <c r="J141" s="5">
        <v>2</v>
      </c>
      <c r="K141" s="5" t="s">
        <v>254</v>
      </c>
      <c r="L141" s="5" t="s">
        <v>255</v>
      </c>
      <c r="M141" s="5" t="s">
        <v>94</v>
      </c>
      <c r="N141" s="5" t="s">
        <v>110</v>
      </c>
      <c r="O141" s="4"/>
      <c r="P141" s="24">
        <f t="shared" ref="P141:P152" si="27">SUM(Q141,R141)</f>
        <v>1</v>
      </c>
      <c r="Q141" s="8">
        <f t="shared" ref="Q141:Q152" si="28">S141</f>
        <v>0</v>
      </c>
      <c r="R141" s="8">
        <f t="shared" ref="R141:R152" si="29">SUM(T141:BX141)</f>
        <v>1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>
        <v>1</v>
      </c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</row>
    <row r="142" spans="1:76" ht="16.5" customHeight="1" x14ac:dyDescent="0.3">
      <c r="A142" t="s">
        <v>573</v>
      </c>
      <c r="B142" t="s">
        <v>656</v>
      </c>
      <c r="C142" t="s">
        <v>693</v>
      </c>
      <c r="D142" t="s">
        <v>705</v>
      </c>
      <c r="E142" t="s">
        <v>706</v>
      </c>
      <c r="F142" t="s">
        <v>706</v>
      </c>
      <c r="G142" s="5">
        <v>1495050</v>
      </c>
      <c r="H142" s="7" t="s">
        <v>330</v>
      </c>
      <c r="I142" s="5" t="s">
        <v>253</v>
      </c>
      <c r="J142" s="5">
        <v>2</v>
      </c>
      <c r="K142" s="5" t="s">
        <v>102</v>
      </c>
      <c r="L142" s="5" t="s">
        <v>109</v>
      </c>
      <c r="M142" s="5" t="s">
        <v>94</v>
      </c>
      <c r="N142" s="5" t="s">
        <v>283</v>
      </c>
      <c r="O142" s="4"/>
      <c r="P142" s="24">
        <f t="shared" si="27"/>
        <v>54</v>
      </c>
      <c r="Q142" s="8">
        <f t="shared" si="28"/>
        <v>0</v>
      </c>
      <c r="R142" s="8">
        <f t="shared" si="29"/>
        <v>54</v>
      </c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>
        <v>1</v>
      </c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>
        <v>5</v>
      </c>
      <c r="AQ142" s="8"/>
      <c r="AR142" s="8"/>
      <c r="AS142" s="8"/>
      <c r="AT142" s="8"/>
      <c r="AU142" s="8"/>
      <c r="AV142" s="8"/>
      <c r="AW142" s="8">
        <v>1</v>
      </c>
      <c r="AX142" s="8"/>
      <c r="AY142" s="8">
        <v>11</v>
      </c>
      <c r="AZ142" s="8"/>
      <c r="BA142" s="8"/>
      <c r="BB142" s="8"/>
      <c r="BC142" s="8"/>
      <c r="BD142" s="8"/>
      <c r="BE142" s="8"/>
      <c r="BF142" s="8"/>
      <c r="BG142" s="8"/>
      <c r="BH142" s="8">
        <v>1</v>
      </c>
      <c r="BI142" s="8"/>
      <c r="BJ142" s="8">
        <v>16</v>
      </c>
      <c r="BK142" s="8"/>
      <c r="BL142" s="8"/>
      <c r="BM142" s="8"/>
      <c r="BN142" s="8"/>
      <c r="BO142" s="8"/>
      <c r="BP142" s="8"/>
      <c r="BQ142" s="8">
        <v>16</v>
      </c>
      <c r="BR142" s="8"/>
      <c r="BS142" s="8">
        <v>3</v>
      </c>
      <c r="BT142" s="8"/>
      <c r="BU142" s="8"/>
      <c r="BV142" s="8"/>
      <c r="BW142" s="8"/>
      <c r="BX142" s="8"/>
    </row>
    <row r="143" spans="1:76" ht="16.5" customHeight="1" x14ac:dyDescent="0.3">
      <c r="A143" t="s">
        <v>573</v>
      </c>
      <c r="B143" t="s">
        <v>656</v>
      </c>
      <c r="C143" t="s">
        <v>693</v>
      </c>
      <c r="D143" t="s">
        <v>705</v>
      </c>
      <c r="E143" t="s">
        <v>707</v>
      </c>
      <c r="F143" t="s">
        <v>707</v>
      </c>
      <c r="G143" s="5">
        <v>1495058</v>
      </c>
      <c r="H143" s="7" t="s">
        <v>331</v>
      </c>
      <c r="I143" s="5" t="s">
        <v>253</v>
      </c>
      <c r="J143" s="5">
        <v>2</v>
      </c>
      <c r="K143" s="5" t="s">
        <v>102</v>
      </c>
      <c r="L143" s="5" t="s">
        <v>109</v>
      </c>
      <c r="M143" s="5" t="s">
        <v>94</v>
      </c>
      <c r="N143" s="5" t="s">
        <v>283</v>
      </c>
      <c r="O143" s="4"/>
      <c r="P143" s="24">
        <f t="shared" si="27"/>
        <v>16</v>
      </c>
      <c r="Q143" s="8">
        <f t="shared" si="28"/>
        <v>0</v>
      </c>
      <c r="R143" s="8">
        <f t="shared" si="29"/>
        <v>16</v>
      </c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>
        <v>1</v>
      </c>
      <c r="AK143" s="8"/>
      <c r="AL143" s="8"/>
      <c r="AM143" s="8"/>
      <c r="AN143" s="8"/>
      <c r="AO143" s="8"/>
      <c r="AP143" s="8">
        <v>1</v>
      </c>
      <c r="AQ143" s="8"/>
      <c r="AR143" s="8"/>
      <c r="AS143" s="8"/>
      <c r="AT143" s="8"/>
      <c r="AU143" s="8"/>
      <c r="AV143" s="8"/>
      <c r="AW143" s="8">
        <v>1</v>
      </c>
      <c r="AX143" s="8"/>
      <c r="AY143" s="8">
        <v>2</v>
      </c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>
        <v>5</v>
      </c>
      <c r="BK143" s="8"/>
      <c r="BL143" s="8">
        <v>1</v>
      </c>
      <c r="BM143" s="8"/>
      <c r="BN143" s="8"/>
      <c r="BO143" s="8"/>
      <c r="BP143" s="8"/>
      <c r="BQ143" s="8">
        <v>4</v>
      </c>
      <c r="BR143" s="8"/>
      <c r="BS143" s="8">
        <v>1</v>
      </c>
      <c r="BT143" s="8"/>
      <c r="BU143" s="8"/>
      <c r="BV143" s="8"/>
      <c r="BW143" s="8"/>
      <c r="BX143" s="8"/>
    </row>
    <row r="144" spans="1:76" ht="16.5" customHeight="1" x14ac:dyDescent="0.3">
      <c r="A144" t="s">
        <v>573</v>
      </c>
      <c r="B144" t="s">
        <v>656</v>
      </c>
      <c r="C144" t="s">
        <v>693</v>
      </c>
      <c r="D144" t="s">
        <v>705</v>
      </c>
      <c r="E144" t="s">
        <v>665</v>
      </c>
      <c r="F144" t="s">
        <v>665</v>
      </c>
      <c r="G144" s="5">
        <v>1495066</v>
      </c>
      <c r="H144" s="7" t="s">
        <v>284</v>
      </c>
      <c r="I144" s="5" t="s">
        <v>253</v>
      </c>
      <c r="J144" s="5">
        <v>2</v>
      </c>
      <c r="K144" s="5" t="s">
        <v>102</v>
      </c>
      <c r="L144" s="5" t="s">
        <v>109</v>
      </c>
      <c r="M144" s="5" t="s">
        <v>94</v>
      </c>
      <c r="N144" s="5" t="s">
        <v>285</v>
      </c>
      <c r="O144" s="4"/>
      <c r="P144" s="24">
        <f t="shared" si="27"/>
        <v>9</v>
      </c>
      <c r="Q144" s="8">
        <f t="shared" si="28"/>
        <v>0</v>
      </c>
      <c r="R144" s="8">
        <f t="shared" si="29"/>
        <v>9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>
        <v>1</v>
      </c>
      <c r="AK144" s="8"/>
      <c r="AL144" s="8"/>
      <c r="AM144" s="8"/>
      <c r="AN144" s="8">
        <v>1</v>
      </c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>
        <v>1</v>
      </c>
      <c r="AZ144" s="8"/>
      <c r="BA144" s="8"/>
      <c r="BB144" s="8"/>
      <c r="BC144" s="8"/>
      <c r="BD144" s="8"/>
      <c r="BE144" s="8"/>
      <c r="BF144" s="8"/>
      <c r="BG144" s="8"/>
      <c r="BH144" s="8"/>
      <c r="BI144" s="8">
        <v>1</v>
      </c>
      <c r="BJ144" s="8">
        <v>1</v>
      </c>
      <c r="BK144" s="8"/>
      <c r="BL144" s="8"/>
      <c r="BM144" s="8"/>
      <c r="BN144" s="8"/>
      <c r="BO144" s="8"/>
      <c r="BP144" s="8">
        <v>2</v>
      </c>
      <c r="BQ144" s="8">
        <v>1</v>
      </c>
      <c r="BR144" s="8"/>
      <c r="BS144" s="8">
        <v>1</v>
      </c>
      <c r="BT144" s="8"/>
      <c r="BU144" s="8"/>
      <c r="BV144" s="8"/>
      <c r="BW144" s="8"/>
      <c r="BX144" s="8"/>
    </row>
    <row r="145" spans="1:76" ht="16.5" customHeight="1" x14ac:dyDescent="0.3">
      <c r="A145" t="s">
        <v>573</v>
      </c>
      <c r="B145" t="s">
        <v>656</v>
      </c>
      <c r="C145" t="s">
        <v>693</v>
      </c>
      <c r="D145" t="s">
        <v>705</v>
      </c>
      <c r="E145" t="s">
        <v>666</v>
      </c>
      <c r="F145" t="s">
        <v>666</v>
      </c>
      <c r="G145" s="5">
        <v>1495079</v>
      </c>
      <c r="H145" s="7" t="s">
        <v>286</v>
      </c>
      <c r="I145" s="5" t="s">
        <v>253</v>
      </c>
      <c r="J145" s="5">
        <v>2</v>
      </c>
      <c r="K145" s="5" t="s">
        <v>102</v>
      </c>
      <c r="L145" s="5" t="s">
        <v>109</v>
      </c>
      <c r="M145" s="5" t="s">
        <v>94</v>
      </c>
      <c r="N145" s="5" t="s">
        <v>285</v>
      </c>
      <c r="O145" s="4"/>
      <c r="P145" s="24">
        <f t="shared" si="27"/>
        <v>14</v>
      </c>
      <c r="Q145" s="8">
        <f t="shared" si="28"/>
        <v>0</v>
      </c>
      <c r="R145" s="8">
        <f t="shared" si="29"/>
        <v>14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>
        <v>1</v>
      </c>
      <c r="AJ145" s="8"/>
      <c r="AK145" s="8"/>
      <c r="AL145" s="8"/>
      <c r="AM145" s="8"/>
      <c r="AN145" s="8">
        <v>1</v>
      </c>
      <c r="AO145" s="8"/>
      <c r="AP145" s="8"/>
      <c r="AQ145" s="8"/>
      <c r="AR145" s="8"/>
      <c r="AS145" s="8"/>
      <c r="AT145" s="8"/>
      <c r="AU145" s="8"/>
      <c r="AV145" s="8"/>
      <c r="AW145" s="8">
        <v>1</v>
      </c>
      <c r="AX145" s="8"/>
      <c r="AY145" s="8">
        <v>1</v>
      </c>
      <c r="AZ145" s="8"/>
      <c r="BA145" s="8"/>
      <c r="BB145" s="8"/>
      <c r="BC145" s="8"/>
      <c r="BD145" s="8"/>
      <c r="BE145" s="8"/>
      <c r="BF145" s="8"/>
      <c r="BG145" s="8"/>
      <c r="BH145" s="8">
        <v>2</v>
      </c>
      <c r="BI145" s="8"/>
      <c r="BJ145" s="8">
        <v>2</v>
      </c>
      <c r="BK145" s="8"/>
      <c r="BL145" s="8">
        <v>1</v>
      </c>
      <c r="BM145" s="8"/>
      <c r="BN145" s="8"/>
      <c r="BO145" s="8"/>
      <c r="BP145" s="8"/>
      <c r="BQ145" s="8">
        <v>4</v>
      </c>
      <c r="BR145" s="8"/>
      <c r="BS145" s="8"/>
      <c r="BT145" s="8"/>
      <c r="BU145" s="8"/>
      <c r="BV145" s="8">
        <v>1</v>
      </c>
      <c r="BW145" s="8"/>
      <c r="BX145" s="8"/>
    </row>
    <row r="146" spans="1:76" ht="16.5" customHeight="1" x14ac:dyDescent="0.3">
      <c r="A146" t="s">
        <v>573</v>
      </c>
      <c r="B146" t="s">
        <v>656</v>
      </c>
      <c r="C146" t="s">
        <v>693</v>
      </c>
      <c r="D146" t="s">
        <v>705</v>
      </c>
      <c r="E146" t="s">
        <v>670</v>
      </c>
      <c r="F146" t="s">
        <v>670</v>
      </c>
      <c r="G146" s="5">
        <v>1495107</v>
      </c>
      <c r="H146" s="7" t="s">
        <v>288</v>
      </c>
      <c r="I146" s="5" t="s">
        <v>253</v>
      </c>
      <c r="J146" s="5">
        <v>2</v>
      </c>
      <c r="K146" s="5" t="s">
        <v>102</v>
      </c>
      <c r="L146" s="5" t="s">
        <v>109</v>
      </c>
      <c r="M146" s="5" t="s">
        <v>94</v>
      </c>
      <c r="N146" s="5" t="s">
        <v>285</v>
      </c>
      <c r="O146" s="4"/>
      <c r="P146" s="24">
        <f t="shared" si="27"/>
        <v>27</v>
      </c>
      <c r="Q146" s="8">
        <f t="shared" si="28"/>
        <v>0</v>
      </c>
      <c r="R146" s="8">
        <f t="shared" si="29"/>
        <v>27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>
        <v>2</v>
      </c>
      <c r="AJ146" s="8"/>
      <c r="AK146" s="8"/>
      <c r="AL146" s="8"/>
      <c r="AM146" s="8"/>
      <c r="AN146" s="8">
        <v>9</v>
      </c>
      <c r="AO146" s="8"/>
      <c r="AP146" s="8"/>
      <c r="AQ146" s="8"/>
      <c r="AR146" s="8"/>
      <c r="AS146" s="8"/>
      <c r="AT146" s="8"/>
      <c r="AU146" s="8"/>
      <c r="AV146" s="8"/>
      <c r="AW146" s="8">
        <v>12</v>
      </c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>
        <v>3</v>
      </c>
      <c r="BI146" s="8"/>
      <c r="BJ146" s="8"/>
      <c r="BK146" s="8"/>
      <c r="BL146" s="8"/>
      <c r="BM146" s="8"/>
      <c r="BN146" s="8"/>
      <c r="BO146" s="8">
        <v>1</v>
      </c>
      <c r="BP146" s="8"/>
      <c r="BQ146" s="8"/>
      <c r="BR146" s="8"/>
      <c r="BS146" s="8"/>
      <c r="BT146" s="8"/>
      <c r="BU146" s="8"/>
      <c r="BV146" s="8"/>
      <c r="BW146" s="8"/>
      <c r="BX146" s="8"/>
    </row>
    <row r="147" spans="1:76" ht="16.5" customHeight="1" x14ac:dyDescent="0.3">
      <c r="A147" t="s">
        <v>573</v>
      </c>
      <c r="B147" t="s">
        <v>656</v>
      </c>
      <c r="C147" t="s">
        <v>693</v>
      </c>
      <c r="D147" t="s">
        <v>705</v>
      </c>
      <c r="E147" t="s">
        <v>671</v>
      </c>
      <c r="F147" t="s">
        <v>671</v>
      </c>
      <c r="G147" s="5">
        <v>1495143</v>
      </c>
      <c r="H147" s="7" t="s">
        <v>289</v>
      </c>
      <c r="I147" s="5" t="s">
        <v>253</v>
      </c>
      <c r="J147" s="5">
        <v>2</v>
      </c>
      <c r="K147" s="5" t="s">
        <v>102</v>
      </c>
      <c r="L147" s="5" t="s">
        <v>109</v>
      </c>
      <c r="M147" s="5" t="s">
        <v>94</v>
      </c>
      <c r="N147" s="5" t="s">
        <v>285</v>
      </c>
      <c r="O147" s="4"/>
      <c r="P147" s="24">
        <f t="shared" si="27"/>
        <v>14</v>
      </c>
      <c r="Q147" s="8">
        <f t="shared" si="28"/>
        <v>0</v>
      </c>
      <c r="R147" s="8">
        <f t="shared" si="29"/>
        <v>14</v>
      </c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>
        <v>1</v>
      </c>
      <c r="AJ147" s="8"/>
      <c r="AK147" s="8"/>
      <c r="AL147" s="8"/>
      <c r="AM147" s="8"/>
      <c r="AN147" s="8">
        <v>5</v>
      </c>
      <c r="AO147" s="8"/>
      <c r="AP147" s="8"/>
      <c r="AQ147" s="8"/>
      <c r="AR147" s="8"/>
      <c r="AS147" s="8"/>
      <c r="AT147" s="8"/>
      <c r="AU147" s="8"/>
      <c r="AV147" s="8"/>
      <c r="AW147" s="8">
        <v>6</v>
      </c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>
        <v>1</v>
      </c>
      <c r="BI147" s="8"/>
      <c r="BJ147" s="8"/>
      <c r="BK147" s="8"/>
      <c r="BL147" s="8"/>
      <c r="BM147" s="8"/>
      <c r="BN147" s="8"/>
      <c r="BO147" s="8">
        <v>1</v>
      </c>
      <c r="BP147" s="8"/>
      <c r="BQ147" s="8"/>
      <c r="BR147" s="8"/>
      <c r="BS147" s="8"/>
      <c r="BT147" s="8"/>
      <c r="BU147" s="8"/>
      <c r="BV147" s="8"/>
      <c r="BW147" s="8"/>
      <c r="BX147" s="8"/>
    </row>
    <row r="148" spans="1:76" ht="16.5" customHeight="1" x14ac:dyDescent="0.3">
      <c r="A148" t="s">
        <v>573</v>
      </c>
      <c r="B148" t="s">
        <v>656</v>
      </c>
      <c r="C148" t="s">
        <v>693</v>
      </c>
      <c r="D148" t="s">
        <v>705</v>
      </c>
      <c r="E148" t="s">
        <v>672</v>
      </c>
      <c r="F148" t="s">
        <v>672</v>
      </c>
      <c r="G148" s="5">
        <v>1495177</v>
      </c>
      <c r="H148" s="7" t="s">
        <v>290</v>
      </c>
      <c r="I148" s="5" t="s">
        <v>253</v>
      </c>
      <c r="J148" s="5">
        <v>2</v>
      </c>
      <c r="K148" s="5" t="s">
        <v>102</v>
      </c>
      <c r="L148" s="5" t="s">
        <v>109</v>
      </c>
      <c r="M148" s="5" t="s">
        <v>94</v>
      </c>
      <c r="N148" s="5" t="s">
        <v>285</v>
      </c>
      <c r="O148" s="4"/>
      <c r="P148" s="24">
        <f t="shared" si="27"/>
        <v>14</v>
      </c>
      <c r="Q148" s="8">
        <f t="shared" si="28"/>
        <v>0</v>
      </c>
      <c r="R148" s="8">
        <f t="shared" si="29"/>
        <v>14</v>
      </c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>
        <v>5</v>
      </c>
      <c r="AO148" s="8"/>
      <c r="AP148" s="8"/>
      <c r="AQ148" s="8"/>
      <c r="AR148" s="8"/>
      <c r="AS148" s="8"/>
      <c r="AT148" s="8"/>
      <c r="AU148" s="8"/>
      <c r="AV148" s="8"/>
      <c r="AW148" s="8">
        <v>6</v>
      </c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>
        <v>2</v>
      </c>
      <c r="BI148" s="8"/>
      <c r="BJ148" s="8"/>
      <c r="BK148" s="8"/>
      <c r="BL148" s="8"/>
      <c r="BM148" s="8"/>
      <c r="BN148" s="8"/>
      <c r="BO148" s="8">
        <v>1</v>
      </c>
      <c r="BP148" s="8"/>
      <c r="BQ148" s="8"/>
      <c r="BR148" s="8"/>
      <c r="BS148" s="8"/>
      <c r="BT148" s="8"/>
      <c r="BU148" s="8"/>
      <c r="BV148" s="8"/>
      <c r="BW148" s="8"/>
      <c r="BX148" s="8"/>
    </row>
    <row r="149" spans="1:76" ht="16.5" customHeight="1" x14ac:dyDescent="0.3">
      <c r="A149" t="s">
        <v>573</v>
      </c>
      <c r="B149" t="s">
        <v>656</v>
      </c>
      <c r="C149" t="s">
        <v>693</v>
      </c>
      <c r="D149" t="s">
        <v>705</v>
      </c>
      <c r="E149" t="s">
        <v>679</v>
      </c>
      <c r="F149" t="s">
        <v>679</v>
      </c>
      <c r="G149" s="5">
        <v>1495208</v>
      </c>
      <c r="H149" s="7" t="s">
        <v>291</v>
      </c>
      <c r="I149" s="5" t="s">
        <v>253</v>
      </c>
      <c r="J149" s="5">
        <v>2</v>
      </c>
      <c r="K149" s="5" t="s">
        <v>102</v>
      </c>
      <c r="L149" s="5" t="s">
        <v>109</v>
      </c>
      <c r="M149" s="5" t="s">
        <v>94</v>
      </c>
      <c r="N149" s="5" t="s">
        <v>285</v>
      </c>
      <c r="O149" s="4"/>
      <c r="P149" s="24">
        <f t="shared" si="27"/>
        <v>11</v>
      </c>
      <c r="Q149" s="8">
        <f t="shared" si="28"/>
        <v>0</v>
      </c>
      <c r="R149" s="8">
        <f t="shared" si="29"/>
        <v>11</v>
      </c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>
        <v>1</v>
      </c>
      <c r="AJ149" s="8"/>
      <c r="AK149" s="8"/>
      <c r="AL149" s="8"/>
      <c r="AM149" s="8"/>
      <c r="AN149" s="8">
        <v>4</v>
      </c>
      <c r="AO149" s="8"/>
      <c r="AP149" s="8"/>
      <c r="AQ149" s="8"/>
      <c r="AR149" s="8"/>
      <c r="AS149" s="8"/>
      <c r="AT149" s="8"/>
      <c r="AU149" s="8"/>
      <c r="AV149" s="8"/>
      <c r="AW149" s="8">
        <v>5</v>
      </c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>
        <v>1</v>
      </c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</row>
    <row r="150" spans="1:76" ht="16.5" customHeight="1" x14ac:dyDescent="0.3">
      <c r="A150" t="s">
        <v>573</v>
      </c>
      <c r="B150" t="s">
        <v>656</v>
      </c>
      <c r="C150" t="s">
        <v>693</v>
      </c>
      <c r="D150" t="s">
        <v>705</v>
      </c>
      <c r="E150" t="s">
        <v>675</v>
      </c>
      <c r="F150" t="s">
        <v>675</v>
      </c>
      <c r="G150" s="5">
        <v>1495232</v>
      </c>
      <c r="H150" s="7" t="s">
        <v>297</v>
      </c>
      <c r="I150" s="5" t="s">
        <v>253</v>
      </c>
      <c r="J150" s="5">
        <v>2</v>
      </c>
      <c r="K150" s="5" t="s">
        <v>102</v>
      </c>
      <c r="L150" s="5" t="s">
        <v>109</v>
      </c>
      <c r="M150" s="5" t="s">
        <v>94</v>
      </c>
      <c r="N150" s="5" t="s">
        <v>285</v>
      </c>
      <c r="O150" s="4"/>
      <c r="P150" s="24">
        <f t="shared" si="27"/>
        <v>5</v>
      </c>
      <c r="Q150" s="8">
        <f t="shared" si="28"/>
        <v>0</v>
      </c>
      <c r="R150" s="8">
        <f t="shared" si="29"/>
        <v>5</v>
      </c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>
        <v>1</v>
      </c>
      <c r="AL150" s="8"/>
      <c r="AM150" s="8"/>
      <c r="AN150" s="8"/>
      <c r="AO150" s="8"/>
      <c r="AP150" s="8"/>
      <c r="AQ150" s="8">
        <v>2</v>
      </c>
      <c r="AR150" s="8"/>
      <c r="AS150" s="8"/>
      <c r="AT150" s="8"/>
      <c r="AU150" s="8"/>
      <c r="AV150" s="8"/>
      <c r="AW150" s="8"/>
      <c r="AX150" s="8"/>
      <c r="AY150" s="8"/>
      <c r="AZ150" s="8">
        <v>2</v>
      </c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</row>
    <row r="151" spans="1:76" ht="16.5" customHeight="1" x14ac:dyDescent="0.3">
      <c r="A151" t="s">
        <v>573</v>
      </c>
      <c r="B151" t="s">
        <v>656</v>
      </c>
      <c r="C151" t="s">
        <v>693</v>
      </c>
      <c r="D151" t="s">
        <v>705</v>
      </c>
      <c r="E151" t="s">
        <v>676</v>
      </c>
      <c r="F151" t="s">
        <v>676</v>
      </c>
      <c r="G151" s="5">
        <v>1495254</v>
      </c>
      <c r="H151" s="7" t="s">
        <v>292</v>
      </c>
      <c r="I151" s="5" t="s">
        <v>253</v>
      </c>
      <c r="J151" s="5">
        <v>2</v>
      </c>
      <c r="K151" s="5" t="s">
        <v>102</v>
      </c>
      <c r="L151" s="5" t="s">
        <v>109</v>
      </c>
      <c r="M151" s="5" t="s">
        <v>94</v>
      </c>
      <c r="N151" s="5" t="s">
        <v>285</v>
      </c>
      <c r="O151" s="4"/>
      <c r="P151" s="24">
        <f t="shared" si="27"/>
        <v>21</v>
      </c>
      <c r="Q151" s="8">
        <f t="shared" si="28"/>
        <v>0</v>
      </c>
      <c r="R151" s="8">
        <f t="shared" si="29"/>
        <v>21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>
        <v>1</v>
      </c>
      <c r="AL151" s="8"/>
      <c r="AM151" s="8"/>
      <c r="AN151" s="8">
        <v>1</v>
      </c>
      <c r="AO151" s="8"/>
      <c r="AP151" s="8"/>
      <c r="AQ151" s="8">
        <v>5</v>
      </c>
      <c r="AR151" s="8"/>
      <c r="AS151" s="8"/>
      <c r="AT151" s="8"/>
      <c r="AU151" s="8">
        <v>2</v>
      </c>
      <c r="AV151" s="8">
        <v>1</v>
      </c>
      <c r="AW151" s="8"/>
      <c r="AX151" s="8"/>
      <c r="AY151" s="8"/>
      <c r="AZ151" s="8">
        <v>6</v>
      </c>
      <c r="BA151" s="8"/>
      <c r="BB151" s="8"/>
      <c r="BC151" s="8"/>
      <c r="BD151" s="8">
        <v>3</v>
      </c>
      <c r="BE151" s="8">
        <v>1</v>
      </c>
      <c r="BF151" s="8"/>
      <c r="BG151" s="8"/>
      <c r="BH151" s="8">
        <v>1</v>
      </c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</row>
    <row r="152" spans="1:76" ht="16.5" customHeight="1" x14ac:dyDescent="0.3">
      <c r="A152" t="s">
        <v>573</v>
      </c>
      <c r="B152" t="s">
        <v>656</v>
      </c>
      <c r="C152" t="s">
        <v>693</v>
      </c>
      <c r="D152" t="s">
        <v>705</v>
      </c>
      <c r="E152" t="s">
        <v>653</v>
      </c>
      <c r="F152" t="s">
        <v>653</v>
      </c>
      <c r="G152" s="5">
        <v>1495268</v>
      </c>
      <c r="H152" s="7" t="s">
        <v>327</v>
      </c>
      <c r="I152" s="5" t="s">
        <v>253</v>
      </c>
      <c r="J152" s="5">
        <v>2</v>
      </c>
      <c r="K152" s="5" t="s">
        <v>102</v>
      </c>
      <c r="L152" s="5" t="s">
        <v>109</v>
      </c>
      <c r="M152" s="5" t="s">
        <v>94</v>
      </c>
      <c r="N152" s="5" t="s">
        <v>285</v>
      </c>
      <c r="O152" s="4"/>
      <c r="P152" s="24">
        <f t="shared" si="27"/>
        <v>7</v>
      </c>
      <c r="Q152" s="8">
        <f t="shared" si="28"/>
        <v>0</v>
      </c>
      <c r="R152" s="8">
        <f t="shared" si="29"/>
        <v>7</v>
      </c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>
        <v>1</v>
      </c>
      <c r="AK152" s="8"/>
      <c r="AL152" s="8"/>
      <c r="AM152" s="8"/>
      <c r="AN152" s="8"/>
      <c r="AO152" s="8"/>
      <c r="AP152" s="8"/>
      <c r="AQ152" s="8">
        <v>1</v>
      </c>
      <c r="AR152" s="8"/>
      <c r="AS152" s="8"/>
      <c r="AT152" s="8"/>
      <c r="AU152" s="8">
        <v>1</v>
      </c>
      <c r="AV152" s="8">
        <v>1</v>
      </c>
      <c r="AW152" s="8"/>
      <c r="AX152" s="8"/>
      <c r="AY152" s="8"/>
      <c r="AZ152" s="8">
        <v>1</v>
      </c>
      <c r="BA152" s="8"/>
      <c r="BB152" s="8"/>
      <c r="BC152" s="8"/>
      <c r="BD152" s="8">
        <v>2</v>
      </c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</row>
    <row r="153" spans="1:76" ht="16.5" customHeight="1" x14ac:dyDescent="0.3">
      <c r="G153" s="14">
        <v>1495045</v>
      </c>
      <c r="H153" s="15" t="s">
        <v>332</v>
      </c>
      <c r="I153" s="14" t="s">
        <v>253</v>
      </c>
      <c r="J153" s="14">
        <v>2</v>
      </c>
      <c r="K153" s="14" t="s">
        <v>254</v>
      </c>
      <c r="L153" s="14" t="s">
        <v>255</v>
      </c>
      <c r="M153" s="14" t="s">
        <v>94</v>
      </c>
      <c r="N153" s="14" t="s">
        <v>110</v>
      </c>
      <c r="O153" s="13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</row>
    <row r="154" spans="1:76" ht="16.5" customHeight="1" x14ac:dyDescent="0.3">
      <c r="A154" t="s">
        <v>573</v>
      </c>
      <c r="B154" t="s">
        <v>656</v>
      </c>
      <c r="C154" t="s">
        <v>693</v>
      </c>
      <c r="D154" t="s">
        <v>708</v>
      </c>
      <c r="E154" t="s">
        <v>708</v>
      </c>
      <c r="F154" t="s">
        <v>708</v>
      </c>
      <c r="G154" s="5">
        <v>1495045</v>
      </c>
      <c r="H154" s="38" t="s">
        <v>333</v>
      </c>
      <c r="I154" s="5" t="s">
        <v>253</v>
      </c>
      <c r="J154" s="5">
        <v>2</v>
      </c>
      <c r="K154" s="5" t="s">
        <v>254</v>
      </c>
      <c r="L154" s="5" t="s">
        <v>255</v>
      </c>
      <c r="M154" s="5" t="s">
        <v>94</v>
      </c>
      <c r="N154" s="5" t="s">
        <v>110</v>
      </c>
      <c r="O154" s="4"/>
      <c r="P154" s="24">
        <f t="shared" ref="P154:P168" si="30">SUM(Q154,R154)</f>
        <v>1</v>
      </c>
      <c r="Q154" s="8">
        <f t="shared" ref="Q154:Q168" si="31">S154</f>
        <v>0</v>
      </c>
      <c r="R154" s="8">
        <f t="shared" ref="R154:R168" si="32">SUM(T154:BX154)</f>
        <v>1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>
        <v>1</v>
      </c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</row>
    <row r="155" spans="1:76" ht="16.5" customHeight="1" x14ac:dyDescent="0.3">
      <c r="A155" t="s">
        <v>573</v>
      </c>
      <c r="B155" t="s">
        <v>656</v>
      </c>
      <c r="C155" t="s">
        <v>693</v>
      </c>
      <c r="D155" t="s">
        <v>708</v>
      </c>
      <c r="E155" t="s">
        <v>709</v>
      </c>
      <c r="F155" t="s">
        <v>709</v>
      </c>
      <c r="G155" s="5">
        <v>1495051</v>
      </c>
      <c r="H155" s="7" t="s">
        <v>334</v>
      </c>
      <c r="I155" s="5" t="s">
        <v>253</v>
      </c>
      <c r="J155" s="5">
        <v>2</v>
      </c>
      <c r="K155" s="5" t="s">
        <v>102</v>
      </c>
      <c r="L155" s="5" t="s">
        <v>109</v>
      </c>
      <c r="M155" s="5" t="s">
        <v>94</v>
      </c>
      <c r="N155" s="5" t="s">
        <v>283</v>
      </c>
      <c r="O155" s="4"/>
      <c r="P155" s="24">
        <f t="shared" si="30"/>
        <v>57</v>
      </c>
      <c r="Q155" s="8">
        <f t="shared" si="31"/>
        <v>0</v>
      </c>
      <c r="R155" s="8">
        <f t="shared" si="32"/>
        <v>57</v>
      </c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>
        <v>1</v>
      </c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>
        <v>4</v>
      </c>
      <c r="AQ155" s="8"/>
      <c r="AR155" s="8"/>
      <c r="AS155" s="8"/>
      <c r="AT155" s="8"/>
      <c r="AU155" s="8"/>
      <c r="AV155" s="8"/>
      <c r="AW155" s="8"/>
      <c r="AX155" s="8"/>
      <c r="AY155" s="8">
        <v>11</v>
      </c>
      <c r="AZ155" s="8"/>
      <c r="BA155" s="8"/>
      <c r="BB155" s="8"/>
      <c r="BC155" s="8"/>
      <c r="BD155" s="8"/>
      <c r="BE155" s="8"/>
      <c r="BF155" s="8"/>
      <c r="BG155" s="8"/>
      <c r="BH155" s="8">
        <v>1</v>
      </c>
      <c r="BI155" s="8"/>
      <c r="BJ155" s="8">
        <v>16</v>
      </c>
      <c r="BK155" s="8"/>
      <c r="BL155" s="8">
        <v>3</v>
      </c>
      <c r="BM155" s="8"/>
      <c r="BN155" s="8"/>
      <c r="BO155" s="8"/>
      <c r="BP155" s="8"/>
      <c r="BQ155" s="8">
        <v>14</v>
      </c>
      <c r="BR155" s="8"/>
      <c r="BS155" s="8">
        <v>7</v>
      </c>
      <c r="BT155" s="8"/>
      <c r="BU155" s="8"/>
      <c r="BV155" s="8"/>
      <c r="BW155" s="8"/>
      <c r="BX155" s="8"/>
    </row>
    <row r="156" spans="1:76" ht="16.5" customHeight="1" x14ac:dyDescent="0.3">
      <c r="A156" t="s">
        <v>573</v>
      </c>
      <c r="B156" t="s">
        <v>656</v>
      </c>
      <c r="C156" t="s">
        <v>693</v>
      </c>
      <c r="D156" t="s">
        <v>708</v>
      </c>
      <c r="E156" t="s">
        <v>710</v>
      </c>
      <c r="F156" t="s">
        <v>710</v>
      </c>
      <c r="G156" s="5">
        <v>1495059</v>
      </c>
      <c r="H156" s="7" t="s">
        <v>335</v>
      </c>
      <c r="I156" s="5" t="s">
        <v>253</v>
      </c>
      <c r="J156" s="5">
        <v>2</v>
      </c>
      <c r="K156" s="5" t="s">
        <v>102</v>
      </c>
      <c r="L156" s="5" t="s">
        <v>109</v>
      </c>
      <c r="M156" s="5" t="s">
        <v>94</v>
      </c>
      <c r="N156" s="5" t="s">
        <v>283</v>
      </c>
      <c r="O156" s="4"/>
      <c r="P156" s="24">
        <f t="shared" si="30"/>
        <v>16</v>
      </c>
      <c r="Q156" s="8">
        <f t="shared" si="31"/>
        <v>0</v>
      </c>
      <c r="R156" s="8">
        <f t="shared" si="32"/>
        <v>16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>
        <v>1</v>
      </c>
      <c r="AK156" s="8"/>
      <c r="AL156" s="8"/>
      <c r="AM156" s="8"/>
      <c r="AN156" s="8"/>
      <c r="AO156" s="8"/>
      <c r="AP156" s="8">
        <v>1</v>
      </c>
      <c r="AQ156" s="8"/>
      <c r="AR156" s="8"/>
      <c r="AS156" s="8"/>
      <c r="AT156" s="8"/>
      <c r="AU156" s="8"/>
      <c r="AV156" s="8"/>
      <c r="AW156" s="8"/>
      <c r="AX156" s="8"/>
      <c r="AY156" s="8">
        <v>3</v>
      </c>
      <c r="AZ156" s="8"/>
      <c r="BA156" s="8"/>
      <c r="BB156" s="8"/>
      <c r="BC156" s="8"/>
      <c r="BD156" s="8"/>
      <c r="BE156" s="8"/>
      <c r="BF156" s="8"/>
      <c r="BG156" s="8"/>
      <c r="BH156" s="8">
        <v>1</v>
      </c>
      <c r="BI156" s="8"/>
      <c r="BJ156" s="8">
        <v>4</v>
      </c>
      <c r="BK156" s="8"/>
      <c r="BL156" s="8">
        <v>1</v>
      </c>
      <c r="BM156" s="8"/>
      <c r="BN156" s="8"/>
      <c r="BO156" s="8"/>
      <c r="BP156" s="8"/>
      <c r="BQ156" s="8">
        <v>4</v>
      </c>
      <c r="BR156" s="8"/>
      <c r="BS156" s="8">
        <v>1</v>
      </c>
      <c r="BT156" s="8"/>
      <c r="BU156" s="8"/>
      <c r="BV156" s="8"/>
      <c r="BW156" s="8"/>
      <c r="BX156" s="8"/>
    </row>
    <row r="157" spans="1:76" ht="16.5" customHeight="1" x14ac:dyDescent="0.3">
      <c r="A157" t="s">
        <v>573</v>
      </c>
      <c r="B157" t="s">
        <v>656</v>
      </c>
      <c r="C157" t="s">
        <v>693</v>
      </c>
      <c r="D157" t="s">
        <v>708</v>
      </c>
      <c r="E157" t="s">
        <v>711</v>
      </c>
      <c r="F157" t="s">
        <v>711</v>
      </c>
      <c r="G157" s="5">
        <v>1495067</v>
      </c>
      <c r="H157" s="7" t="s">
        <v>336</v>
      </c>
      <c r="I157" s="5" t="s">
        <v>253</v>
      </c>
      <c r="J157" s="5">
        <v>2</v>
      </c>
      <c r="K157" s="5" t="s">
        <v>102</v>
      </c>
      <c r="L157" s="5" t="s">
        <v>109</v>
      </c>
      <c r="M157" s="5" t="s">
        <v>94</v>
      </c>
      <c r="N157" s="5" t="s">
        <v>283</v>
      </c>
      <c r="O157" s="4"/>
      <c r="P157" s="24">
        <f t="shared" si="30"/>
        <v>13</v>
      </c>
      <c r="Q157" s="8">
        <f t="shared" si="31"/>
        <v>0</v>
      </c>
      <c r="R157" s="8">
        <f t="shared" si="32"/>
        <v>13</v>
      </c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>
        <v>1</v>
      </c>
      <c r="AK157" s="8"/>
      <c r="AL157" s="8"/>
      <c r="AM157" s="8"/>
      <c r="AN157" s="8"/>
      <c r="AO157" s="8"/>
      <c r="AP157" s="8">
        <v>1</v>
      </c>
      <c r="AQ157" s="8"/>
      <c r="AR157" s="8"/>
      <c r="AS157" s="8"/>
      <c r="AT157" s="8"/>
      <c r="AU157" s="8"/>
      <c r="AV157" s="8"/>
      <c r="AW157" s="8">
        <v>1</v>
      </c>
      <c r="AX157" s="8"/>
      <c r="AY157" s="8">
        <v>1</v>
      </c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>
        <v>3</v>
      </c>
      <c r="BK157" s="8"/>
      <c r="BL157" s="8">
        <v>1</v>
      </c>
      <c r="BM157" s="8"/>
      <c r="BN157" s="8"/>
      <c r="BO157" s="8"/>
      <c r="BP157" s="8"/>
      <c r="BQ157" s="8">
        <v>4</v>
      </c>
      <c r="BR157" s="8"/>
      <c r="BS157" s="8">
        <v>1</v>
      </c>
      <c r="BT157" s="8"/>
      <c r="BU157" s="8"/>
      <c r="BV157" s="8"/>
      <c r="BW157" s="8"/>
      <c r="BX157" s="8"/>
    </row>
    <row r="158" spans="1:76" ht="16.5" customHeight="1" x14ac:dyDescent="0.3">
      <c r="A158" t="s">
        <v>573</v>
      </c>
      <c r="B158" t="s">
        <v>656</v>
      </c>
      <c r="C158" t="s">
        <v>693</v>
      </c>
      <c r="D158" t="s">
        <v>708</v>
      </c>
      <c r="E158" t="s">
        <v>712</v>
      </c>
      <c r="F158" t="s">
        <v>712</v>
      </c>
      <c r="G158" s="5">
        <v>1495080</v>
      </c>
      <c r="H158" s="7" t="s">
        <v>337</v>
      </c>
      <c r="I158" s="5" t="s">
        <v>253</v>
      </c>
      <c r="J158" s="5">
        <v>2</v>
      </c>
      <c r="K158" s="5" t="s">
        <v>102</v>
      </c>
      <c r="L158" s="5" t="s">
        <v>109</v>
      </c>
      <c r="M158" s="5" t="s">
        <v>94</v>
      </c>
      <c r="N158" s="5" t="s">
        <v>283</v>
      </c>
      <c r="O158" s="4"/>
      <c r="P158" s="24">
        <f t="shared" si="30"/>
        <v>10</v>
      </c>
      <c r="Q158" s="8">
        <f t="shared" si="31"/>
        <v>0</v>
      </c>
      <c r="R158" s="8">
        <f t="shared" si="32"/>
        <v>10</v>
      </c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>
        <v>1</v>
      </c>
      <c r="AK158" s="8"/>
      <c r="AL158" s="8"/>
      <c r="AM158" s="8"/>
      <c r="AN158" s="8"/>
      <c r="AO158" s="8"/>
      <c r="AP158" s="8">
        <v>1</v>
      </c>
      <c r="AQ158" s="8"/>
      <c r="AR158" s="8"/>
      <c r="AS158" s="8"/>
      <c r="AT158" s="8"/>
      <c r="AU158" s="8"/>
      <c r="AV158" s="8"/>
      <c r="AW158" s="8"/>
      <c r="AX158" s="8"/>
      <c r="AY158" s="8">
        <v>2</v>
      </c>
      <c r="AZ158" s="8"/>
      <c r="BA158" s="8"/>
      <c r="BB158" s="8"/>
      <c r="BC158" s="8"/>
      <c r="BD158" s="8"/>
      <c r="BE158" s="8"/>
      <c r="BF158" s="8"/>
      <c r="BG158" s="8"/>
      <c r="BH158" s="8">
        <v>1</v>
      </c>
      <c r="BI158" s="8"/>
      <c r="BJ158" s="8">
        <v>2</v>
      </c>
      <c r="BK158" s="8"/>
      <c r="BL158" s="8"/>
      <c r="BM158" s="8"/>
      <c r="BN158" s="8"/>
      <c r="BO158" s="8"/>
      <c r="BP158" s="8"/>
      <c r="BQ158" s="8">
        <v>2</v>
      </c>
      <c r="BR158" s="8"/>
      <c r="BS158" s="8">
        <v>1</v>
      </c>
      <c r="BT158" s="8"/>
      <c r="BU158" s="8"/>
      <c r="BV158" s="8"/>
      <c r="BW158" s="8"/>
      <c r="BX158" s="8"/>
    </row>
    <row r="159" spans="1:76" ht="16.5" customHeight="1" x14ac:dyDescent="0.3">
      <c r="A159" t="s">
        <v>573</v>
      </c>
      <c r="B159" t="s">
        <v>656</v>
      </c>
      <c r="C159" t="s">
        <v>693</v>
      </c>
      <c r="D159" t="s">
        <v>708</v>
      </c>
      <c r="E159" t="s">
        <v>665</v>
      </c>
      <c r="F159" t="s">
        <v>665</v>
      </c>
      <c r="G159" s="5">
        <v>1495108</v>
      </c>
      <c r="H159" s="7" t="s">
        <v>284</v>
      </c>
      <c r="I159" s="5" t="s">
        <v>253</v>
      </c>
      <c r="J159" s="5">
        <v>2</v>
      </c>
      <c r="K159" s="5" t="s">
        <v>102</v>
      </c>
      <c r="L159" s="5" t="s">
        <v>109</v>
      </c>
      <c r="M159" s="5" t="s">
        <v>94</v>
      </c>
      <c r="N159" s="5" t="s">
        <v>285</v>
      </c>
      <c r="O159" s="4"/>
      <c r="P159" s="24">
        <f t="shared" si="30"/>
        <v>16</v>
      </c>
      <c r="Q159" s="8">
        <f t="shared" si="31"/>
        <v>0</v>
      </c>
      <c r="R159" s="8">
        <f t="shared" si="32"/>
        <v>16</v>
      </c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>
        <v>1</v>
      </c>
      <c r="AK159" s="8"/>
      <c r="AL159" s="8"/>
      <c r="AM159" s="8"/>
      <c r="AN159" s="8">
        <v>1</v>
      </c>
      <c r="AO159" s="8"/>
      <c r="AP159" s="8"/>
      <c r="AQ159" s="8"/>
      <c r="AR159" s="8"/>
      <c r="AS159" s="8"/>
      <c r="AT159" s="8"/>
      <c r="AU159" s="8"/>
      <c r="AV159" s="8"/>
      <c r="AW159" s="8">
        <v>1</v>
      </c>
      <c r="AX159" s="8">
        <v>1</v>
      </c>
      <c r="AY159" s="8">
        <v>3</v>
      </c>
      <c r="AZ159" s="8"/>
      <c r="BA159" s="8"/>
      <c r="BB159" s="8"/>
      <c r="BC159" s="8"/>
      <c r="BD159" s="8"/>
      <c r="BE159" s="8"/>
      <c r="BF159" s="8"/>
      <c r="BG159" s="8"/>
      <c r="BH159" s="8"/>
      <c r="BI159" s="8">
        <v>1</v>
      </c>
      <c r="BJ159" s="8">
        <v>2</v>
      </c>
      <c r="BK159" s="8"/>
      <c r="BL159" s="8"/>
      <c r="BM159" s="8"/>
      <c r="BN159" s="8"/>
      <c r="BO159" s="8"/>
      <c r="BP159" s="8">
        <v>2</v>
      </c>
      <c r="BQ159" s="8">
        <v>3</v>
      </c>
      <c r="BR159" s="8"/>
      <c r="BS159" s="8">
        <v>1</v>
      </c>
      <c r="BT159" s="8"/>
      <c r="BU159" s="8"/>
      <c r="BV159" s="8"/>
      <c r="BW159" s="8"/>
      <c r="BX159" s="8"/>
    </row>
    <row r="160" spans="1:76" ht="16.5" customHeight="1" x14ac:dyDescent="0.3">
      <c r="A160" t="s">
        <v>573</v>
      </c>
      <c r="B160" t="s">
        <v>656</v>
      </c>
      <c r="C160" t="s">
        <v>693</v>
      </c>
      <c r="D160" t="s">
        <v>708</v>
      </c>
      <c r="E160" t="s">
        <v>666</v>
      </c>
      <c r="F160" t="s">
        <v>666</v>
      </c>
      <c r="G160" s="5">
        <v>1495144</v>
      </c>
      <c r="H160" s="7" t="s">
        <v>286</v>
      </c>
      <c r="I160" s="5" t="s">
        <v>253</v>
      </c>
      <c r="J160" s="5">
        <v>2</v>
      </c>
      <c r="K160" s="5" t="s">
        <v>102</v>
      </c>
      <c r="L160" s="5" t="s">
        <v>109</v>
      </c>
      <c r="M160" s="5" t="s">
        <v>94</v>
      </c>
      <c r="N160" s="5" t="s">
        <v>285</v>
      </c>
      <c r="O160" s="4"/>
      <c r="P160" s="24">
        <f t="shared" si="30"/>
        <v>18</v>
      </c>
      <c r="Q160" s="8">
        <f t="shared" si="31"/>
        <v>0</v>
      </c>
      <c r="R160" s="8">
        <f t="shared" si="32"/>
        <v>18</v>
      </c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>
        <v>1</v>
      </c>
      <c r="AK160" s="8"/>
      <c r="AL160" s="8"/>
      <c r="AM160" s="8"/>
      <c r="AN160" s="8">
        <v>2</v>
      </c>
      <c r="AO160" s="8"/>
      <c r="AP160" s="8"/>
      <c r="AQ160" s="8"/>
      <c r="AR160" s="8"/>
      <c r="AS160" s="8"/>
      <c r="AT160" s="8"/>
      <c r="AU160" s="8"/>
      <c r="AV160" s="8"/>
      <c r="AW160" s="8">
        <v>1</v>
      </c>
      <c r="AX160" s="8"/>
      <c r="AY160" s="8">
        <v>2</v>
      </c>
      <c r="AZ160" s="8"/>
      <c r="BA160" s="8"/>
      <c r="BB160" s="8"/>
      <c r="BC160" s="8"/>
      <c r="BD160" s="8"/>
      <c r="BE160" s="8"/>
      <c r="BF160" s="8"/>
      <c r="BG160" s="8"/>
      <c r="BH160" s="8">
        <v>2</v>
      </c>
      <c r="BI160" s="8"/>
      <c r="BJ160" s="8">
        <v>4</v>
      </c>
      <c r="BK160" s="8"/>
      <c r="BL160" s="8"/>
      <c r="BM160" s="8"/>
      <c r="BN160" s="8"/>
      <c r="BO160" s="8"/>
      <c r="BP160" s="8"/>
      <c r="BQ160" s="8">
        <v>2</v>
      </c>
      <c r="BR160" s="8"/>
      <c r="BS160" s="8">
        <v>1</v>
      </c>
      <c r="BT160" s="8">
        <v>1</v>
      </c>
      <c r="BU160" s="8">
        <v>1</v>
      </c>
      <c r="BV160" s="8">
        <v>1</v>
      </c>
      <c r="BW160" s="8"/>
      <c r="BX160" s="8"/>
    </row>
    <row r="161" spans="1:76" ht="16.5" customHeight="1" x14ac:dyDescent="0.3">
      <c r="A161" t="s">
        <v>573</v>
      </c>
      <c r="B161" t="s">
        <v>656</v>
      </c>
      <c r="C161" t="s">
        <v>693</v>
      </c>
      <c r="D161" t="s">
        <v>708</v>
      </c>
      <c r="E161" t="s">
        <v>669</v>
      </c>
      <c r="F161" t="s">
        <v>669</v>
      </c>
      <c r="G161" s="5">
        <v>1495178</v>
      </c>
      <c r="H161" s="7" t="s">
        <v>287</v>
      </c>
      <c r="I161" s="5" t="s">
        <v>253</v>
      </c>
      <c r="J161" s="5">
        <v>2</v>
      </c>
      <c r="K161" s="5" t="s">
        <v>102</v>
      </c>
      <c r="L161" s="5" t="s">
        <v>109</v>
      </c>
      <c r="M161" s="5" t="s">
        <v>94</v>
      </c>
      <c r="N161" s="5" t="s">
        <v>285</v>
      </c>
      <c r="O161" s="4"/>
      <c r="P161" s="24">
        <f t="shared" si="30"/>
        <v>11</v>
      </c>
      <c r="Q161" s="8">
        <f t="shared" si="31"/>
        <v>0</v>
      </c>
      <c r="R161" s="8">
        <f t="shared" si="32"/>
        <v>11</v>
      </c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>
        <v>1</v>
      </c>
      <c r="AJ161" s="8"/>
      <c r="AK161" s="8"/>
      <c r="AL161" s="8"/>
      <c r="AM161" s="8"/>
      <c r="AN161" s="8">
        <v>3</v>
      </c>
      <c r="AO161" s="8"/>
      <c r="AP161" s="8"/>
      <c r="AQ161" s="8"/>
      <c r="AR161" s="8"/>
      <c r="AS161" s="8"/>
      <c r="AT161" s="8"/>
      <c r="AU161" s="8"/>
      <c r="AV161" s="8"/>
      <c r="AW161" s="8">
        <v>5</v>
      </c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>
        <v>2</v>
      </c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</row>
    <row r="162" spans="1:76" ht="16.5" customHeight="1" x14ac:dyDescent="0.3">
      <c r="A162" t="s">
        <v>573</v>
      </c>
      <c r="B162" t="s">
        <v>656</v>
      </c>
      <c r="C162" t="s">
        <v>693</v>
      </c>
      <c r="D162" t="s">
        <v>708</v>
      </c>
      <c r="E162" t="s">
        <v>670</v>
      </c>
      <c r="F162" t="s">
        <v>670</v>
      </c>
      <c r="G162" s="5">
        <v>1495209</v>
      </c>
      <c r="H162" s="7" t="s">
        <v>288</v>
      </c>
      <c r="I162" s="5" t="s">
        <v>253</v>
      </c>
      <c r="J162" s="5">
        <v>2</v>
      </c>
      <c r="K162" s="5" t="s">
        <v>102</v>
      </c>
      <c r="L162" s="5" t="s">
        <v>109</v>
      </c>
      <c r="M162" s="5" t="s">
        <v>94</v>
      </c>
      <c r="N162" s="5" t="s">
        <v>285</v>
      </c>
      <c r="O162" s="4"/>
      <c r="P162" s="24">
        <f t="shared" si="30"/>
        <v>33</v>
      </c>
      <c r="Q162" s="8">
        <f t="shared" si="31"/>
        <v>0</v>
      </c>
      <c r="R162" s="8">
        <f t="shared" si="32"/>
        <v>33</v>
      </c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>
        <v>1</v>
      </c>
      <c r="AF162" s="8"/>
      <c r="AG162" s="8"/>
      <c r="AH162" s="8"/>
      <c r="AI162" s="8"/>
      <c r="AJ162" s="8"/>
      <c r="AK162" s="8"/>
      <c r="AL162" s="8"/>
      <c r="AM162" s="8"/>
      <c r="AN162" s="8">
        <v>12</v>
      </c>
      <c r="AO162" s="8"/>
      <c r="AP162" s="8"/>
      <c r="AQ162" s="8"/>
      <c r="AR162" s="8"/>
      <c r="AS162" s="8"/>
      <c r="AT162" s="8"/>
      <c r="AU162" s="8"/>
      <c r="AV162" s="8"/>
      <c r="AW162" s="8">
        <v>13</v>
      </c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>
        <v>6</v>
      </c>
      <c r="BI162" s="8"/>
      <c r="BJ162" s="8"/>
      <c r="BK162" s="8"/>
      <c r="BL162" s="8"/>
      <c r="BM162" s="8"/>
      <c r="BN162" s="8"/>
      <c r="BO162" s="8">
        <v>1</v>
      </c>
      <c r="BP162" s="8"/>
      <c r="BQ162" s="8"/>
      <c r="BR162" s="8"/>
      <c r="BS162" s="8"/>
      <c r="BT162" s="8"/>
      <c r="BU162" s="8"/>
      <c r="BV162" s="8"/>
      <c r="BW162" s="8"/>
      <c r="BX162" s="8"/>
    </row>
    <row r="163" spans="1:76" ht="16.5" customHeight="1" x14ac:dyDescent="0.3">
      <c r="A163" t="s">
        <v>573</v>
      </c>
      <c r="B163" t="s">
        <v>656</v>
      </c>
      <c r="C163" t="s">
        <v>693</v>
      </c>
      <c r="D163" t="s">
        <v>708</v>
      </c>
      <c r="E163" t="s">
        <v>671</v>
      </c>
      <c r="F163" t="s">
        <v>671</v>
      </c>
      <c r="G163" s="5">
        <v>1495233</v>
      </c>
      <c r="H163" s="7" t="s">
        <v>289</v>
      </c>
      <c r="I163" s="5" t="s">
        <v>253</v>
      </c>
      <c r="J163" s="5">
        <v>2</v>
      </c>
      <c r="K163" s="5" t="s">
        <v>102</v>
      </c>
      <c r="L163" s="5" t="s">
        <v>109</v>
      </c>
      <c r="M163" s="5" t="s">
        <v>94</v>
      </c>
      <c r="N163" s="5" t="s">
        <v>285</v>
      </c>
      <c r="O163" s="4"/>
      <c r="P163" s="24">
        <f t="shared" si="30"/>
        <v>18</v>
      </c>
      <c r="Q163" s="8">
        <f t="shared" si="31"/>
        <v>0</v>
      </c>
      <c r="R163" s="8">
        <f t="shared" si="32"/>
        <v>18</v>
      </c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>
        <v>1</v>
      </c>
      <c r="AJ163" s="8"/>
      <c r="AK163" s="8"/>
      <c r="AL163" s="8"/>
      <c r="AM163" s="8"/>
      <c r="AN163" s="8">
        <v>7</v>
      </c>
      <c r="AO163" s="8"/>
      <c r="AP163" s="8"/>
      <c r="AQ163" s="8"/>
      <c r="AR163" s="8"/>
      <c r="AS163" s="8"/>
      <c r="AT163" s="8"/>
      <c r="AU163" s="8"/>
      <c r="AV163" s="8"/>
      <c r="AW163" s="8">
        <v>7</v>
      </c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>
        <v>2</v>
      </c>
      <c r="BI163" s="8"/>
      <c r="BJ163" s="8"/>
      <c r="BK163" s="8"/>
      <c r="BL163" s="8"/>
      <c r="BM163" s="8"/>
      <c r="BN163" s="8"/>
      <c r="BO163" s="8">
        <v>1</v>
      </c>
      <c r="BP163" s="8"/>
      <c r="BQ163" s="8"/>
      <c r="BR163" s="8"/>
      <c r="BS163" s="8"/>
      <c r="BT163" s="8"/>
      <c r="BU163" s="8"/>
      <c r="BV163" s="8"/>
      <c r="BW163" s="8"/>
      <c r="BX163" s="8"/>
    </row>
    <row r="164" spans="1:76" ht="16.5" customHeight="1" x14ac:dyDescent="0.3">
      <c r="A164" t="s">
        <v>573</v>
      </c>
      <c r="B164" t="s">
        <v>656</v>
      </c>
      <c r="C164" t="s">
        <v>693</v>
      </c>
      <c r="D164" t="s">
        <v>708</v>
      </c>
      <c r="E164" t="s">
        <v>672</v>
      </c>
      <c r="F164" t="s">
        <v>672</v>
      </c>
      <c r="G164" s="5">
        <v>1495255</v>
      </c>
      <c r="H164" s="7" t="s">
        <v>290</v>
      </c>
      <c r="I164" s="5" t="s">
        <v>253</v>
      </c>
      <c r="J164" s="5">
        <v>2</v>
      </c>
      <c r="K164" s="5" t="s">
        <v>102</v>
      </c>
      <c r="L164" s="5" t="s">
        <v>109</v>
      </c>
      <c r="M164" s="5" t="s">
        <v>94</v>
      </c>
      <c r="N164" s="5" t="s">
        <v>285</v>
      </c>
      <c r="O164" s="4"/>
      <c r="P164" s="24">
        <f t="shared" si="30"/>
        <v>18</v>
      </c>
      <c r="Q164" s="8">
        <f t="shared" si="31"/>
        <v>0</v>
      </c>
      <c r="R164" s="8">
        <f t="shared" si="32"/>
        <v>18</v>
      </c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>
        <v>1</v>
      </c>
      <c r="AJ164" s="8"/>
      <c r="AK164" s="8"/>
      <c r="AL164" s="8"/>
      <c r="AM164" s="8"/>
      <c r="AN164" s="8">
        <v>7</v>
      </c>
      <c r="AO164" s="8"/>
      <c r="AP164" s="8"/>
      <c r="AQ164" s="8"/>
      <c r="AR164" s="8"/>
      <c r="AS164" s="8"/>
      <c r="AT164" s="8"/>
      <c r="AU164" s="8"/>
      <c r="AV164" s="8"/>
      <c r="AW164" s="8">
        <v>7</v>
      </c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>
        <v>2</v>
      </c>
      <c r="BI164" s="8"/>
      <c r="BJ164" s="8"/>
      <c r="BK164" s="8"/>
      <c r="BL164" s="8"/>
      <c r="BM164" s="8"/>
      <c r="BN164" s="8"/>
      <c r="BO164" s="8">
        <v>1</v>
      </c>
      <c r="BP164" s="8"/>
      <c r="BQ164" s="8"/>
      <c r="BR164" s="8"/>
      <c r="BS164" s="8"/>
      <c r="BT164" s="8"/>
      <c r="BU164" s="8"/>
      <c r="BV164" s="8"/>
      <c r="BW164" s="8"/>
      <c r="BX164" s="8"/>
    </row>
    <row r="165" spans="1:76" ht="16.5" customHeight="1" x14ac:dyDescent="0.3">
      <c r="A165" t="s">
        <v>573</v>
      </c>
      <c r="B165" t="s">
        <v>656</v>
      </c>
      <c r="C165" t="s">
        <v>693</v>
      </c>
      <c r="D165" t="s">
        <v>708</v>
      </c>
      <c r="E165" t="s">
        <v>679</v>
      </c>
      <c r="F165" t="s">
        <v>679</v>
      </c>
      <c r="G165" s="5">
        <v>1495269</v>
      </c>
      <c r="H165" s="7" t="s">
        <v>291</v>
      </c>
      <c r="I165" s="5" t="s">
        <v>253</v>
      </c>
      <c r="J165" s="5">
        <v>2</v>
      </c>
      <c r="K165" s="5" t="s">
        <v>102</v>
      </c>
      <c r="L165" s="5" t="s">
        <v>109</v>
      </c>
      <c r="M165" s="5" t="s">
        <v>94</v>
      </c>
      <c r="N165" s="5" t="s">
        <v>285</v>
      </c>
      <c r="O165" s="4"/>
      <c r="P165" s="24">
        <f t="shared" si="30"/>
        <v>11</v>
      </c>
      <c r="Q165" s="8">
        <f t="shared" si="31"/>
        <v>0</v>
      </c>
      <c r="R165" s="8">
        <f t="shared" si="32"/>
        <v>11</v>
      </c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>
        <v>1</v>
      </c>
      <c r="AJ165" s="8"/>
      <c r="AK165" s="8"/>
      <c r="AL165" s="8"/>
      <c r="AM165" s="8"/>
      <c r="AN165" s="8">
        <v>5</v>
      </c>
      <c r="AO165" s="8"/>
      <c r="AP165" s="8"/>
      <c r="AQ165" s="8"/>
      <c r="AR165" s="8"/>
      <c r="AS165" s="8"/>
      <c r="AT165" s="8"/>
      <c r="AU165" s="8"/>
      <c r="AV165" s="8"/>
      <c r="AW165" s="8">
        <v>4</v>
      </c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>
        <v>1</v>
      </c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</row>
    <row r="166" spans="1:76" ht="16.5" customHeight="1" x14ac:dyDescent="0.3">
      <c r="A166" t="s">
        <v>573</v>
      </c>
      <c r="B166" t="s">
        <v>656</v>
      </c>
      <c r="C166" t="s">
        <v>693</v>
      </c>
      <c r="D166" t="s">
        <v>708</v>
      </c>
      <c r="E166" t="s">
        <v>675</v>
      </c>
      <c r="F166" t="s">
        <v>675</v>
      </c>
      <c r="G166" s="5">
        <v>1495274</v>
      </c>
      <c r="H166" s="7" t="s">
        <v>297</v>
      </c>
      <c r="I166" s="5" t="s">
        <v>253</v>
      </c>
      <c r="J166" s="5">
        <v>2</v>
      </c>
      <c r="K166" s="5" t="s">
        <v>102</v>
      </c>
      <c r="L166" s="5" t="s">
        <v>109</v>
      </c>
      <c r="M166" s="5" t="s">
        <v>94</v>
      </c>
      <c r="N166" s="5" t="s">
        <v>285</v>
      </c>
      <c r="O166" s="4"/>
      <c r="P166" s="24">
        <f t="shared" si="30"/>
        <v>13</v>
      </c>
      <c r="Q166" s="8">
        <f t="shared" si="31"/>
        <v>0</v>
      </c>
      <c r="R166" s="8">
        <f t="shared" si="32"/>
        <v>13</v>
      </c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>
        <v>1</v>
      </c>
      <c r="AK166" s="8"/>
      <c r="AL166" s="8"/>
      <c r="AM166" s="8"/>
      <c r="AN166" s="8"/>
      <c r="AO166" s="8"/>
      <c r="AP166" s="8"/>
      <c r="AQ166" s="8">
        <v>4</v>
      </c>
      <c r="AR166" s="8"/>
      <c r="AS166" s="8"/>
      <c r="AT166" s="8"/>
      <c r="AU166" s="8">
        <v>1</v>
      </c>
      <c r="AV166" s="8"/>
      <c r="AW166" s="8"/>
      <c r="AX166" s="8"/>
      <c r="AY166" s="8"/>
      <c r="AZ166" s="8">
        <v>5</v>
      </c>
      <c r="BA166" s="8"/>
      <c r="BB166" s="8"/>
      <c r="BC166" s="8"/>
      <c r="BD166" s="8">
        <v>2</v>
      </c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</row>
    <row r="167" spans="1:76" ht="16.5" customHeight="1" x14ac:dyDescent="0.3">
      <c r="A167" t="s">
        <v>573</v>
      </c>
      <c r="B167" t="s">
        <v>656</v>
      </c>
      <c r="C167" t="s">
        <v>693</v>
      </c>
      <c r="D167" t="s">
        <v>708</v>
      </c>
      <c r="E167" t="s">
        <v>676</v>
      </c>
      <c r="F167" t="s">
        <v>676</v>
      </c>
      <c r="G167" s="5">
        <v>1495276</v>
      </c>
      <c r="H167" s="7" t="s">
        <v>292</v>
      </c>
      <c r="I167" s="5" t="s">
        <v>253</v>
      </c>
      <c r="J167" s="5">
        <v>2</v>
      </c>
      <c r="K167" s="5" t="s">
        <v>102</v>
      </c>
      <c r="L167" s="5" t="s">
        <v>109</v>
      </c>
      <c r="M167" s="5" t="s">
        <v>94</v>
      </c>
      <c r="N167" s="5" t="s">
        <v>285</v>
      </c>
      <c r="O167" s="4"/>
      <c r="P167" s="24">
        <f t="shared" si="30"/>
        <v>15</v>
      </c>
      <c r="Q167" s="8">
        <f t="shared" si="31"/>
        <v>0</v>
      </c>
      <c r="R167" s="8">
        <f t="shared" si="32"/>
        <v>15</v>
      </c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>
        <v>1</v>
      </c>
      <c r="AK167" s="8"/>
      <c r="AL167" s="8"/>
      <c r="AM167" s="8"/>
      <c r="AN167" s="8"/>
      <c r="AO167" s="8"/>
      <c r="AP167" s="8"/>
      <c r="AQ167" s="8">
        <v>4</v>
      </c>
      <c r="AR167" s="8"/>
      <c r="AS167" s="8"/>
      <c r="AT167" s="8"/>
      <c r="AU167" s="8">
        <v>1</v>
      </c>
      <c r="AV167" s="8"/>
      <c r="AW167" s="8"/>
      <c r="AX167" s="8"/>
      <c r="AY167" s="8"/>
      <c r="AZ167" s="8">
        <v>5</v>
      </c>
      <c r="BA167" s="8"/>
      <c r="BB167" s="8"/>
      <c r="BC167" s="8"/>
      <c r="BD167" s="8">
        <v>1</v>
      </c>
      <c r="BE167" s="8">
        <v>1</v>
      </c>
      <c r="BF167" s="8"/>
      <c r="BG167" s="8"/>
      <c r="BH167" s="8">
        <v>2</v>
      </c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</row>
    <row r="168" spans="1:76" ht="16.5" customHeight="1" x14ac:dyDescent="0.3">
      <c r="A168" t="s">
        <v>573</v>
      </c>
      <c r="B168" t="s">
        <v>656</v>
      </c>
      <c r="C168" t="s">
        <v>693</v>
      </c>
      <c r="D168" t="s">
        <v>708</v>
      </c>
      <c r="E168" t="s">
        <v>653</v>
      </c>
      <c r="F168" t="s">
        <v>653</v>
      </c>
      <c r="G168" s="5">
        <v>1495278</v>
      </c>
      <c r="H168" s="7" t="s">
        <v>327</v>
      </c>
      <c r="I168" s="5" t="s">
        <v>253</v>
      </c>
      <c r="J168" s="5">
        <v>2</v>
      </c>
      <c r="K168" s="5" t="s">
        <v>102</v>
      </c>
      <c r="L168" s="5" t="s">
        <v>109</v>
      </c>
      <c r="M168" s="5" t="s">
        <v>94</v>
      </c>
      <c r="N168" s="5" t="s">
        <v>285</v>
      </c>
      <c r="O168" s="4"/>
      <c r="P168" s="24">
        <f t="shared" si="30"/>
        <v>23</v>
      </c>
      <c r="Q168" s="8">
        <f t="shared" si="31"/>
        <v>0</v>
      </c>
      <c r="R168" s="8">
        <f t="shared" si="32"/>
        <v>23</v>
      </c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>
        <v>1</v>
      </c>
      <c r="AN168" s="8">
        <v>1</v>
      </c>
      <c r="AO168" s="8"/>
      <c r="AP168" s="8"/>
      <c r="AQ168" s="8">
        <v>6</v>
      </c>
      <c r="AR168" s="8"/>
      <c r="AS168" s="8"/>
      <c r="AT168" s="8"/>
      <c r="AU168" s="8">
        <v>2</v>
      </c>
      <c r="AV168" s="8">
        <v>1</v>
      </c>
      <c r="AW168" s="8"/>
      <c r="AX168" s="8"/>
      <c r="AY168" s="8"/>
      <c r="AZ168" s="8">
        <v>7</v>
      </c>
      <c r="BA168" s="8"/>
      <c r="BB168" s="8"/>
      <c r="BC168" s="8"/>
      <c r="BD168" s="8">
        <v>3</v>
      </c>
      <c r="BE168" s="8"/>
      <c r="BF168" s="8"/>
      <c r="BG168" s="8"/>
      <c r="BH168" s="8">
        <v>2</v>
      </c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</row>
    <row r="169" spans="1:76" ht="16.5" customHeight="1" x14ac:dyDescent="0.3">
      <c r="G169" s="14">
        <v>1495046</v>
      </c>
      <c r="H169" s="15" t="s">
        <v>338</v>
      </c>
      <c r="I169" s="14" t="s">
        <v>253</v>
      </c>
      <c r="J169" s="14">
        <v>2</v>
      </c>
      <c r="K169" s="14" t="s">
        <v>254</v>
      </c>
      <c r="L169" s="14" t="s">
        <v>255</v>
      </c>
      <c r="M169" s="14" t="s">
        <v>94</v>
      </c>
      <c r="N169" s="14" t="s">
        <v>110</v>
      </c>
      <c r="O169" s="13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</row>
    <row r="170" spans="1:76" ht="16.5" customHeight="1" x14ac:dyDescent="0.3">
      <c r="A170" t="s">
        <v>573</v>
      </c>
      <c r="B170" t="s">
        <v>656</v>
      </c>
      <c r="C170" t="s">
        <v>693</v>
      </c>
      <c r="D170" t="s">
        <v>713</v>
      </c>
      <c r="E170" t="s">
        <v>713</v>
      </c>
      <c r="F170" t="s">
        <v>713</v>
      </c>
      <c r="G170" s="5">
        <v>1495046</v>
      </c>
      <c r="H170" s="38" t="s">
        <v>339</v>
      </c>
      <c r="I170" s="5" t="s">
        <v>253</v>
      </c>
      <c r="J170" s="5">
        <v>2</v>
      </c>
      <c r="K170" s="5" t="s">
        <v>254</v>
      </c>
      <c r="L170" s="5" t="s">
        <v>255</v>
      </c>
      <c r="M170" s="5" t="s">
        <v>94</v>
      </c>
      <c r="N170" s="5" t="s">
        <v>110</v>
      </c>
      <c r="O170" s="4"/>
      <c r="P170" s="24">
        <f t="shared" ref="P170:P180" si="33">SUM(Q170,R170)</f>
        <v>1</v>
      </c>
      <c r="Q170" s="8">
        <f t="shared" ref="Q170:Q180" si="34">S170</f>
        <v>0</v>
      </c>
      <c r="R170" s="8">
        <f t="shared" ref="R170:R180" si="35">SUM(T170:BX170)</f>
        <v>1</v>
      </c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>
        <v>1</v>
      </c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</row>
    <row r="171" spans="1:76" ht="16.5" customHeight="1" x14ac:dyDescent="0.3">
      <c r="A171" t="s">
        <v>573</v>
      </c>
      <c r="B171" t="s">
        <v>656</v>
      </c>
      <c r="C171" t="s">
        <v>693</v>
      </c>
      <c r="D171" t="s">
        <v>713</v>
      </c>
      <c r="E171" t="s">
        <v>714</v>
      </c>
      <c r="F171" t="s">
        <v>714</v>
      </c>
      <c r="G171" s="5">
        <v>1495054</v>
      </c>
      <c r="H171" s="7" t="s">
        <v>340</v>
      </c>
      <c r="I171" s="5" t="s">
        <v>253</v>
      </c>
      <c r="J171" s="5">
        <v>2</v>
      </c>
      <c r="K171" s="5" t="s">
        <v>102</v>
      </c>
      <c r="L171" s="5" t="s">
        <v>109</v>
      </c>
      <c r="M171" s="5" t="s">
        <v>94</v>
      </c>
      <c r="N171" s="5" t="s">
        <v>283</v>
      </c>
      <c r="O171" s="4"/>
      <c r="P171" s="24">
        <f t="shared" si="33"/>
        <v>43</v>
      </c>
      <c r="Q171" s="8">
        <f t="shared" si="34"/>
        <v>0</v>
      </c>
      <c r="R171" s="8">
        <f t="shared" si="35"/>
        <v>43</v>
      </c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>
        <v>1</v>
      </c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>
        <v>4</v>
      </c>
      <c r="AQ171" s="8"/>
      <c r="AR171" s="8"/>
      <c r="AS171" s="8"/>
      <c r="AT171" s="8"/>
      <c r="AU171" s="8"/>
      <c r="AV171" s="8"/>
      <c r="AW171" s="8"/>
      <c r="AX171" s="8"/>
      <c r="AY171" s="8">
        <v>9</v>
      </c>
      <c r="AZ171" s="8"/>
      <c r="BA171" s="8"/>
      <c r="BB171" s="8"/>
      <c r="BC171" s="8">
        <v>1</v>
      </c>
      <c r="BD171" s="8"/>
      <c r="BE171" s="8"/>
      <c r="BF171" s="8"/>
      <c r="BG171" s="8"/>
      <c r="BH171" s="8">
        <v>1</v>
      </c>
      <c r="BI171" s="8"/>
      <c r="BJ171" s="8">
        <v>12</v>
      </c>
      <c r="BK171" s="8"/>
      <c r="BL171" s="8">
        <v>1</v>
      </c>
      <c r="BM171" s="8"/>
      <c r="BN171" s="8"/>
      <c r="BO171" s="8"/>
      <c r="BP171" s="8"/>
      <c r="BQ171" s="8">
        <v>6</v>
      </c>
      <c r="BR171" s="8"/>
      <c r="BS171" s="8">
        <v>7</v>
      </c>
      <c r="BT171" s="8">
        <v>1</v>
      </c>
      <c r="BU171" s="8"/>
      <c r="BV171" s="8"/>
      <c r="BW171" s="8"/>
      <c r="BX171" s="8"/>
    </row>
    <row r="172" spans="1:76" ht="16.5" customHeight="1" x14ac:dyDescent="0.3">
      <c r="A172" t="s">
        <v>573</v>
      </c>
      <c r="B172" t="s">
        <v>656</v>
      </c>
      <c r="C172" t="s">
        <v>693</v>
      </c>
      <c r="D172" t="s">
        <v>713</v>
      </c>
      <c r="E172" t="s">
        <v>715</v>
      </c>
      <c r="F172" t="s">
        <v>715</v>
      </c>
      <c r="G172" s="5">
        <v>1495062</v>
      </c>
      <c r="H172" s="7" t="s">
        <v>341</v>
      </c>
      <c r="I172" s="5" t="s">
        <v>253</v>
      </c>
      <c r="J172" s="5">
        <v>2</v>
      </c>
      <c r="K172" s="5" t="s">
        <v>102</v>
      </c>
      <c r="L172" s="5" t="s">
        <v>109</v>
      </c>
      <c r="M172" s="5" t="s">
        <v>94</v>
      </c>
      <c r="N172" s="5" t="s">
        <v>283</v>
      </c>
      <c r="O172" s="4"/>
      <c r="P172" s="24">
        <f t="shared" si="33"/>
        <v>16</v>
      </c>
      <c r="Q172" s="8">
        <f t="shared" si="34"/>
        <v>0</v>
      </c>
      <c r="R172" s="8">
        <f t="shared" si="35"/>
        <v>16</v>
      </c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>
        <v>1</v>
      </c>
      <c r="AK172" s="8"/>
      <c r="AL172" s="8"/>
      <c r="AM172" s="8"/>
      <c r="AN172" s="8"/>
      <c r="AO172" s="8"/>
      <c r="AP172" s="8">
        <v>1</v>
      </c>
      <c r="AQ172" s="8"/>
      <c r="AR172" s="8"/>
      <c r="AS172" s="8"/>
      <c r="AT172" s="8"/>
      <c r="AU172" s="8"/>
      <c r="AV172" s="8"/>
      <c r="AW172" s="8">
        <v>1</v>
      </c>
      <c r="AX172" s="8"/>
      <c r="AY172" s="8">
        <v>2</v>
      </c>
      <c r="AZ172" s="8">
        <v>1</v>
      </c>
      <c r="BA172" s="8"/>
      <c r="BB172" s="8"/>
      <c r="BC172" s="8"/>
      <c r="BD172" s="8"/>
      <c r="BE172" s="8"/>
      <c r="BF172" s="8"/>
      <c r="BG172" s="8"/>
      <c r="BH172" s="8"/>
      <c r="BI172" s="8"/>
      <c r="BJ172" s="8">
        <v>4</v>
      </c>
      <c r="BK172" s="8"/>
      <c r="BL172" s="8">
        <v>1</v>
      </c>
      <c r="BM172" s="8"/>
      <c r="BN172" s="8"/>
      <c r="BO172" s="8"/>
      <c r="BP172" s="8"/>
      <c r="BQ172" s="8">
        <v>3</v>
      </c>
      <c r="BR172" s="8"/>
      <c r="BS172" s="8">
        <v>2</v>
      </c>
      <c r="BT172" s="8"/>
      <c r="BU172" s="8"/>
      <c r="BV172" s="8"/>
      <c r="BW172" s="8"/>
      <c r="BX172" s="8"/>
    </row>
    <row r="173" spans="1:76" ht="16.5" customHeight="1" x14ac:dyDescent="0.3">
      <c r="A173" t="s">
        <v>573</v>
      </c>
      <c r="B173" t="s">
        <v>656</v>
      </c>
      <c r="C173" t="s">
        <v>693</v>
      </c>
      <c r="D173" t="s">
        <v>713</v>
      </c>
      <c r="E173" t="s">
        <v>716</v>
      </c>
      <c r="F173" t="s">
        <v>716</v>
      </c>
      <c r="G173" s="5">
        <v>1495070</v>
      </c>
      <c r="H173" s="7" t="s">
        <v>342</v>
      </c>
      <c r="I173" s="5" t="s">
        <v>253</v>
      </c>
      <c r="J173" s="5">
        <v>2</v>
      </c>
      <c r="K173" s="5" t="s">
        <v>102</v>
      </c>
      <c r="L173" s="5" t="s">
        <v>109</v>
      </c>
      <c r="M173" s="5" t="s">
        <v>94</v>
      </c>
      <c r="N173" s="5" t="s">
        <v>283</v>
      </c>
      <c r="O173" s="4"/>
      <c r="P173" s="24">
        <f t="shared" si="33"/>
        <v>8</v>
      </c>
      <c r="Q173" s="8">
        <f t="shared" si="34"/>
        <v>0</v>
      </c>
      <c r="R173" s="8">
        <f t="shared" si="35"/>
        <v>8</v>
      </c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>
        <v>1</v>
      </c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>
        <v>2</v>
      </c>
      <c r="AZ173" s="8"/>
      <c r="BA173" s="8"/>
      <c r="BB173" s="8"/>
      <c r="BC173" s="8"/>
      <c r="BD173" s="8"/>
      <c r="BE173" s="8"/>
      <c r="BF173" s="8"/>
      <c r="BG173" s="8"/>
      <c r="BH173" s="8">
        <v>1</v>
      </c>
      <c r="BI173" s="8"/>
      <c r="BJ173" s="8">
        <v>1</v>
      </c>
      <c r="BK173" s="8"/>
      <c r="BL173" s="8">
        <v>1</v>
      </c>
      <c r="BM173" s="8"/>
      <c r="BN173" s="8"/>
      <c r="BO173" s="8"/>
      <c r="BP173" s="8"/>
      <c r="BQ173" s="8">
        <v>2</v>
      </c>
      <c r="BR173" s="8"/>
      <c r="BS173" s="8"/>
      <c r="BT173" s="8"/>
      <c r="BU173" s="8"/>
      <c r="BV173" s="8"/>
      <c r="BW173" s="8"/>
      <c r="BX173" s="8"/>
    </row>
    <row r="174" spans="1:76" ht="16.5" customHeight="1" x14ac:dyDescent="0.3">
      <c r="A174" t="s">
        <v>573</v>
      </c>
      <c r="B174" t="s">
        <v>656</v>
      </c>
      <c r="C174" t="s">
        <v>693</v>
      </c>
      <c r="D174" t="s">
        <v>713</v>
      </c>
      <c r="E174" t="s">
        <v>665</v>
      </c>
      <c r="F174" t="s">
        <v>665</v>
      </c>
      <c r="G174" s="5">
        <v>1495083</v>
      </c>
      <c r="H174" s="7" t="s">
        <v>284</v>
      </c>
      <c r="I174" s="5" t="s">
        <v>253</v>
      </c>
      <c r="J174" s="5">
        <v>2</v>
      </c>
      <c r="K174" s="5" t="s">
        <v>102</v>
      </c>
      <c r="L174" s="5" t="s">
        <v>109</v>
      </c>
      <c r="M174" s="5" t="s">
        <v>94</v>
      </c>
      <c r="N174" s="5" t="s">
        <v>285</v>
      </c>
      <c r="O174" s="4"/>
      <c r="P174" s="24">
        <f t="shared" si="33"/>
        <v>19</v>
      </c>
      <c r="Q174" s="8">
        <f t="shared" si="34"/>
        <v>0</v>
      </c>
      <c r="R174" s="8">
        <f t="shared" si="35"/>
        <v>19</v>
      </c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>
        <v>1</v>
      </c>
      <c r="AK174" s="8"/>
      <c r="AL174" s="8"/>
      <c r="AM174" s="8"/>
      <c r="AN174" s="8">
        <v>2</v>
      </c>
      <c r="AO174" s="8"/>
      <c r="AP174" s="8"/>
      <c r="AQ174" s="8"/>
      <c r="AR174" s="8"/>
      <c r="AS174" s="8"/>
      <c r="AT174" s="8"/>
      <c r="AU174" s="8"/>
      <c r="AV174" s="8"/>
      <c r="AW174" s="8">
        <v>2</v>
      </c>
      <c r="AX174" s="8"/>
      <c r="AY174" s="8">
        <v>2</v>
      </c>
      <c r="AZ174" s="8"/>
      <c r="BA174" s="8"/>
      <c r="BB174" s="8"/>
      <c r="BC174" s="8"/>
      <c r="BD174" s="8"/>
      <c r="BE174" s="8"/>
      <c r="BF174" s="8"/>
      <c r="BG174" s="8"/>
      <c r="BH174" s="8">
        <v>1</v>
      </c>
      <c r="BI174" s="8"/>
      <c r="BJ174" s="8">
        <v>3</v>
      </c>
      <c r="BK174" s="8"/>
      <c r="BL174" s="8">
        <v>1</v>
      </c>
      <c r="BM174" s="8"/>
      <c r="BN174" s="8"/>
      <c r="BO174" s="8"/>
      <c r="BP174" s="8"/>
      <c r="BQ174" s="8">
        <v>2</v>
      </c>
      <c r="BR174" s="8"/>
      <c r="BS174" s="8">
        <v>2</v>
      </c>
      <c r="BT174" s="8">
        <v>1</v>
      </c>
      <c r="BU174" s="8">
        <v>1</v>
      </c>
      <c r="BV174" s="8">
        <v>1</v>
      </c>
      <c r="BW174" s="8"/>
      <c r="BX174" s="8"/>
    </row>
    <row r="175" spans="1:76" ht="16.5" customHeight="1" x14ac:dyDescent="0.3">
      <c r="A175" t="s">
        <v>573</v>
      </c>
      <c r="B175" t="s">
        <v>656</v>
      </c>
      <c r="C175" t="s">
        <v>693</v>
      </c>
      <c r="D175" t="s">
        <v>713</v>
      </c>
      <c r="E175" t="s">
        <v>670</v>
      </c>
      <c r="F175" t="s">
        <v>670</v>
      </c>
      <c r="G175" s="5">
        <v>1495111</v>
      </c>
      <c r="H175" s="7" t="s">
        <v>288</v>
      </c>
      <c r="I175" s="5" t="s">
        <v>253</v>
      </c>
      <c r="J175" s="5">
        <v>2</v>
      </c>
      <c r="K175" s="5" t="s">
        <v>102</v>
      </c>
      <c r="L175" s="5" t="s">
        <v>109</v>
      </c>
      <c r="M175" s="5" t="s">
        <v>94</v>
      </c>
      <c r="N175" s="5" t="s">
        <v>285</v>
      </c>
      <c r="O175" s="4"/>
      <c r="P175" s="24">
        <f t="shared" si="33"/>
        <v>24</v>
      </c>
      <c r="Q175" s="8">
        <f t="shared" si="34"/>
        <v>0</v>
      </c>
      <c r="R175" s="8">
        <f t="shared" si="35"/>
        <v>24</v>
      </c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>
        <v>1</v>
      </c>
      <c r="AJ175" s="8"/>
      <c r="AK175" s="8"/>
      <c r="AL175" s="8"/>
      <c r="AM175" s="8"/>
      <c r="AN175" s="8">
        <v>9</v>
      </c>
      <c r="AO175" s="8"/>
      <c r="AP175" s="8"/>
      <c r="AQ175" s="8"/>
      <c r="AR175" s="8"/>
      <c r="AS175" s="8"/>
      <c r="AT175" s="8"/>
      <c r="AU175" s="8"/>
      <c r="AV175" s="8"/>
      <c r="AW175" s="8">
        <v>10</v>
      </c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>
        <v>3</v>
      </c>
      <c r="BI175" s="8"/>
      <c r="BJ175" s="8"/>
      <c r="BK175" s="8"/>
      <c r="BL175" s="8"/>
      <c r="BM175" s="8"/>
      <c r="BN175" s="8"/>
      <c r="BO175" s="8">
        <v>1</v>
      </c>
      <c r="BP175" s="8"/>
      <c r="BQ175" s="8"/>
      <c r="BR175" s="8"/>
      <c r="BS175" s="8"/>
      <c r="BT175" s="8"/>
      <c r="BU175" s="8"/>
      <c r="BV175" s="8"/>
      <c r="BW175" s="8"/>
      <c r="BX175" s="8"/>
    </row>
    <row r="176" spans="1:76" ht="16.5" customHeight="1" x14ac:dyDescent="0.3">
      <c r="A176" t="s">
        <v>573</v>
      </c>
      <c r="B176" t="s">
        <v>656</v>
      </c>
      <c r="C176" t="s">
        <v>693</v>
      </c>
      <c r="D176" t="s">
        <v>713</v>
      </c>
      <c r="E176" t="s">
        <v>671</v>
      </c>
      <c r="F176" t="s">
        <v>671</v>
      </c>
      <c r="G176" s="5">
        <v>1495146</v>
      </c>
      <c r="H176" s="7" t="s">
        <v>289</v>
      </c>
      <c r="I176" s="5" t="s">
        <v>253</v>
      </c>
      <c r="J176" s="5">
        <v>2</v>
      </c>
      <c r="K176" s="5" t="s">
        <v>102</v>
      </c>
      <c r="L176" s="5" t="s">
        <v>109</v>
      </c>
      <c r="M176" s="5" t="s">
        <v>94</v>
      </c>
      <c r="N176" s="5" t="s">
        <v>285</v>
      </c>
      <c r="O176" s="4"/>
      <c r="P176" s="24">
        <f t="shared" si="33"/>
        <v>20</v>
      </c>
      <c r="Q176" s="8">
        <f t="shared" si="34"/>
        <v>0</v>
      </c>
      <c r="R176" s="8">
        <f t="shared" si="35"/>
        <v>20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>
        <v>1</v>
      </c>
      <c r="AJ176" s="8"/>
      <c r="AK176" s="8"/>
      <c r="AL176" s="8"/>
      <c r="AM176" s="8"/>
      <c r="AN176" s="8">
        <v>7</v>
      </c>
      <c r="AO176" s="8"/>
      <c r="AP176" s="8"/>
      <c r="AQ176" s="8"/>
      <c r="AR176" s="8"/>
      <c r="AS176" s="8"/>
      <c r="AT176" s="8"/>
      <c r="AU176" s="8"/>
      <c r="AV176" s="8"/>
      <c r="AW176" s="8">
        <v>9</v>
      </c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>
        <v>2</v>
      </c>
      <c r="BI176" s="8"/>
      <c r="BJ176" s="8"/>
      <c r="BK176" s="8"/>
      <c r="BL176" s="8"/>
      <c r="BM176" s="8"/>
      <c r="BN176" s="8"/>
      <c r="BO176" s="8">
        <v>1</v>
      </c>
      <c r="BP176" s="8"/>
      <c r="BQ176" s="8"/>
      <c r="BR176" s="8"/>
      <c r="BS176" s="8"/>
      <c r="BT176" s="8"/>
      <c r="BU176" s="8"/>
      <c r="BV176" s="8"/>
      <c r="BW176" s="8"/>
      <c r="BX176" s="8"/>
    </row>
    <row r="177" spans="1:76" ht="16.5" customHeight="1" x14ac:dyDescent="0.3">
      <c r="A177" t="s">
        <v>573</v>
      </c>
      <c r="B177" t="s">
        <v>656</v>
      </c>
      <c r="C177" t="s">
        <v>693</v>
      </c>
      <c r="D177" t="s">
        <v>713</v>
      </c>
      <c r="E177" t="s">
        <v>679</v>
      </c>
      <c r="F177" t="s">
        <v>679</v>
      </c>
      <c r="G177" s="5">
        <v>1495180</v>
      </c>
      <c r="H177" s="7" t="s">
        <v>291</v>
      </c>
      <c r="I177" s="5" t="s">
        <v>253</v>
      </c>
      <c r="J177" s="5">
        <v>2</v>
      </c>
      <c r="K177" s="5" t="s">
        <v>102</v>
      </c>
      <c r="L177" s="5" t="s">
        <v>109</v>
      </c>
      <c r="M177" s="5" t="s">
        <v>94</v>
      </c>
      <c r="N177" s="5" t="s">
        <v>285</v>
      </c>
      <c r="O177" s="4"/>
      <c r="P177" s="24">
        <f t="shared" si="33"/>
        <v>11</v>
      </c>
      <c r="Q177" s="8">
        <f t="shared" si="34"/>
        <v>0</v>
      </c>
      <c r="R177" s="8">
        <f t="shared" si="35"/>
        <v>11</v>
      </c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>
        <v>1</v>
      </c>
      <c r="AJ177" s="8"/>
      <c r="AK177" s="8"/>
      <c r="AL177" s="8"/>
      <c r="AM177" s="8"/>
      <c r="AN177" s="8">
        <v>5</v>
      </c>
      <c r="AO177" s="8"/>
      <c r="AP177" s="8"/>
      <c r="AQ177" s="8"/>
      <c r="AR177" s="8"/>
      <c r="AS177" s="8"/>
      <c r="AT177" s="8"/>
      <c r="AU177" s="8"/>
      <c r="AV177" s="8"/>
      <c r="AW177" s="8">
        <v>4</v>
      </c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>
        <v>1</v>
      </c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</row>
    <row r="178" spans="1:76" ht="16.5" customHeight="1" x14ac:dyDescent="0.3">
      <c r="A178" t="s">
        <v>573</v>
      </c>
      <c r="B178" t="s">
        <v>656</v>
      </c>
      <c r="C178" t="s">
        <v>693</v>
      </c>
      <c r="D178" t="s">
        <v>713</v>
      </c>
      <c r="E178" t="s">
        <v>675</v>
      </c>
      <c r="F178" t="s">
        <v>675</v>
      </c>
      <c r="G178" s="5">
        <v>1495211</v>
      </c>
      <c r="H178" s="7" t="s">
        <v>297</v>
      </c>
      <c r="I178" s="5" t="s">
        <v>253</v>
      </c>
      <c r="J178" s="5">
        <v>2</v>
      </c>
      <c r="K178" s="5" t="s">
        <v>102</v>
      </c>
      <c r="L178" s="5" t="s">
        <v>109</v>
      </c>
      <c r="M178" s="5" t="s">
        <v>94</v>
      </c>
      <c r="N178" s="5" t="s">
        <v>285</v>
      </c>
      <c r="O178" s="4"/>
      <c r="P178" s="24">
        <f t="shared" si="33"/>
        <v>5</v>
      </c>
      <c r="Q178" s="8">
        <f t="shared" si="34"/>
        <v>0</v>
      </c>
      <c r="R178" s="8">
        <f t="shared" si="35"/>
        <v>5</v>
      </c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>
        <v>1</v>
      </c>
      <c r="AL178" s="8"/>
      <c r="AM178" s="8"/>
      <c r="AN178" s="8"/>
      <c r="AO178" s="8"/>
      <c r="AP178" s="8"/>
      <c r="AQ178" s="8">
        <v>2</v>
      </c>
      <c r="AR178" s="8"/>
      <c r="AS178" s="8"/>
      <c r="AT178" s="8"/>
      <c r="AU178" s="8"/>
      <c r="AV178" s="8"/>
      <c r="AW178" s="8"/>
      <c r="AX178" s="8"/>
      <c r="AY178" s="8"/>
      <c r="AZ178" s="8">
        <v>2</v>
      </c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</row>
    <row r="179" spans="1:76" ht="16.5" customHeight="1" x14ac:dyDescent="0.3">
      <c r="A179" t="s">
        <v>573</v>
      </c>
      <c r="B179" t="s">
        <v>656</v>
      </c>
      <c r="C179" t="s">
        <v>693</v>
      </c>
      <c r="D179" t="s">
        <v>713</v>
      </c>
      <c r="E179" t="s">
        <v>676</v>
      </c>
      <c r="F179" t="s">
        <v>676</v>
      </c>
      <c r="G179" s="5">
        <v>1495235</v>
      </c>
      <c r="H179" s="7" t="s">
        <v>292</v>
      </c>
      <c r="I179" s="5" t="s">
        <v>253</v>
      </c>
      <c r="J179" s="5">
        <v>2</v>
      </c>
      <c r="K179" s="5" t="s">
        <v>102</v>
      </c>
      <c r="L179" s="5" t="s">
        <v>109</v>
      </c>
      <c r="M179" s="5" t="s">
        <v>94</v>
      </c>
      <c r="N179" s="5" t="s">
        <v>285</v>
      </c>
      <c r="O179" s="4"/>
      <c r="P179" s="24">
        <f t="shared" si="33"/>
        <v>15</v>
      </c>
      <c r="Q179" s="8">
        <f t="shared" si="34"/>
        <v>0</v>
      </c>
      <c r="R179" s="8">
        <f t="shared" si="35"/>
        <v>15</v>
      </c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>
        <v>1</v>
      </c>
      <c r="AK179" s="8"/>
      <c r="AL179" s="8"/>
      <c r="AM179" s="8"/>
      <c r="AN179" s="8"/>
      <c r="AO179" s="8"/>
      <c r="AP179" s="8"/>
      <c r="AQ179" s="8">
        <v>5</v>
      </c>
      <c r="AR179" s="8"/>
      <c r="AS179" s="8"/>
      <c r="AT179" s="8"/>
      <c r="AU179" s="8">
        <v>2</v>
      </c>
      <c r="AV179" s="8">
        <v>1</v>
      </c>
      <c r="AW179" s="8"/>
      <c r="AX179" s="8"/>
      <c r="AY179" s="8"/>
      <c r="AZ179" s="8">
        <v>4</v>
      </c>
      <c r="BA179" s="8"/>
      <c r="BB179" s="8"/>
      <c r="BC179" s="8"/>
      <c r="BD179" s="8">
        <v>1</v>
      </c>
      <c r="BE179" s="8"/>
      <c r="BF179" s="8"/>
      <c r="BG179" s="8"/>
      <c r="BH179" s="8">
        <v>1</v>
      </c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</row>
    <row r="180" spans="1:76" ht="16.5" customHeight="1" x14ac:dyDescent="0.3">
      <c r="A180" t="s">
        <v>573</v>
      </c>
      <c r="B180" t="s">
        <v>656</v>
      </c>
      <c r="C180" t="s">
        <v>693</v>
      </c>
      <c r="D180" t="s">
        <v>713</v>
      </c>
      <c r="E180" t="s">
        <v>653</v>
      </c>
      <c r="F180" t="s">
        <v>653</v>
      </c>
      <c r="G180" s="5">
        <v>1495257</v>
      </c>
      <c r="H180" s="7" t="s">
        <v>327</v>
      </c>
      <c r="I180" s="5" t="s">
        <v>253</v>
      </c>
      <c r="J180" s="5">
        <v>2</v>
      </c>
      <c r="K180" s="5" t="s">
        <v>102</v>
      </c>
      <c r="L180" s="5" t="s">
        <v>109</v>
      </c>
      <c r="M180" s="5" t="s">
        <v>94</v>
      </c>
      <c r="N180" s="5" t="s">
        <v>285</v>
      </c>
      <c r="O180" s="4"/>
      <c r="P180" s="24">
        <f t="shared" si="33"/>
        <v>5</v>
      </c>
      <c r="Q180" s="8">
        <f t="shared" si="34"/>
        <v>0</v>
      </c>
      <c r="R180" s="8">
        <f t="shared" si="35"/>
        <v>5</v>
      </c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>
        <v>1</v>
      </c>
      <c r="AK180" s="8"/>
      <c r="AL180" s="8"/>
      <c r="AM180" s="8"/>
      <c r="AN180" s="8"/>
      <c r="AO180" s="8"/>
      <c r="AP180" s="8"/>
      <c r="AQ180" s="8">
        <v>1</v>
      </c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>
        <v>3</v>
      </c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</row>
    <row r="181" spans="1:76" ht="16.5" customHeight="1" x14ac:dyDescent="0.3">
      <c r="G181" s="14">
        <v>1495048</v>
      </c>
      <c r="H181" s="15" t="s">
        <v>343</v>
      </c>
      <c r="I181" s="14" t="s">
        <v>253</v>
      </c>
      <c r="J181" s="14">
        <v>2</v>
      </c>
      <c r="K181" s="14" t="s">
        <v>254</v>
      </c>
      <c r="L181" s="14" t="s">
        <v>255</v>
      </c>
      <c r="M181" s="14" t="s">
        <v>94</v>
      </c>
      <c r="N181" s="14" t="s">
        <v>110</v>
      </c>
      <c r="O181" s="13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</row>
    <row r="182" spans="1:76" ht="16.5" customHeight="1" x14ac:dyDescent="0.3">
      <c r="A182" t="s">
        <v>573</v>
      </c>
      <c r="B182" t="s">
        <v>656</v>
      </c>
      <c r="C182" t="s">
        <v>693</v>
      </c>
      <c r="D182" t="s">
        <v>717</v>
      </c>
      <c r="E182" t="s">
        <v>717</v>
      </c>
      <c r="F182" t="s">
        <v>717</v>
      </c>
      <c r="G182" s="5">
        <v>1495048</v>
      </c>
      <c r="H182" s="38" t="s">
        <v>344</v>
      </c>
      <c r="I182" s="5" t="s">
        <v>253</v>
      </c>
      <c r="J182" s="5">
        <v>2</v>
      </c>
      <c r="K182" s="5" t="s">
        <v>254</v>
      </c>
      <c r="L182" s="5" t="s">
        <v>255</v>
      </c>
      <c r="M182" s="5" t="s">
        <v>94</v>
      </c>
      <c r="N182" s="5" t="s">
        <v>110</v>
      </c>
      <c r="O182" s="4"/>
      <c r="P182" s="24">
        <f t="shared" ref="P182:P192" si="36">SUM(Q182,R182)</f>
        <v>1</v>
      </c>
      <c r="Q182" s="8">
        <f t="shared" ref="Q182:Q192" si="37">S182</f>
        <v>0</v>
      </c>
      <c r="R182" s="8">
        <f t="shared" ref="R182:R192" si="38">SUM(T182:BX182)</f>
        <v>1</v>
      </c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>
        <v>1</v>
      </c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</row>
    <row r="183" spans="1:76" ht="16.5" customHeight="1" x14ac:dyDescent="0.3">
      <c r="A183" t="s">
        <v>573</v>
      </c>
      <c r="B183" t="s">
        <v>656</v>
      </c>
      <c r="C183" t="s">
        <v>693</v>
      </c>
      <c r="D183" t="s">
        <v>717</v>
      </c>
      <c r="E183" t="s">
        <v>718</v>
      </c>
      <c r="F183" t="s">
        <v>718</v>
      </c>
      <c r="G183" s="5">
        <v>1495053</v>
      </c>
      <c r="H183" s="7" t="s">
        <v>345</v>
      </c>
      <c r="I183" s="5" t="s">
        <v>253</v>
      </c>
      <c r="J183" s="5">
        <v>2</v>
      </c>
      <c r="K183" s="5" t="s">
        <v>102</v>
      </c>
      <c r="L183" s="5" t="s">
        <v>109</v>
      </c>
      <c r="M183" s="5" t="s">
        <v>94</v>
      </c>
      <c r="N183" s="5" t="s">
        <v>283</v>
      </c>
      <c r="O183" s="4"/>
      <c r="P183" s="24">
        <f t="shared" si="36"/>
        <v>45</v>
      </c>
      <c r="Q183" s="8">
        <f t="shared" si="37"/>
        <v>0</v>
      </c>
      <c r="R183" s="8">
        <f t="shared" si="38"/>
        <v>45</v>
      </c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>
        <v>1</v>
      </c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>
        <v>5</v>
      </c>
      <c r="AQ183" s="8"/>
      <c r="AR183" s="8"/>
      <c r="AS183" s="8"/>
      <c r="AT183" s="8"/>
      <c r="AU183" s="8"/>
      <c r="AV183" s="8"/>
      <c r="AW183" s="8">
        <v>1</v>
      </c>
      <c r="AX183" s="8"/>
      <c r="AY183" s="8">
        <v>6</v>
      </c>
      <c r="AZ183" s="8"/>
      <c r="BA183" s="8"/>
      <c r="BB183" s="8"/>
      <c r="BC183" s="8">
        <v>2</v>
      </c>
      <c r="BD183" s="8"/>
      <c r="BE183" s="8"/>
      <c r="BF183" s="8"/>
      <c r="BG183" s="8"/>
      <c r="BH183" s="8">
        <v>1</v>
      </c>
      <c r="BI183" s="8"/>
      <c r="BJ183" s="8">
        <v>13</v>
      </c>
      <c r="BK183" s="8"/>
      <c r="BL183" s="8">
        <v>1</v>
      </c>
      <c r="BM183" s="8"/>
      <c r="BN183" s="8"/>
      <c r="BO183" s="8"/>
      <c r="BP183" s="8"/>
      <c r="BQ183" s="8">
        <v>6</v>
      </c>
      <c r="BR183" s="8"/>
      <c r="BS183" s="8">
        <v>9</v>
      </c>
      <c r="BT183" s="8"/>
      <c r="BU183" s="8"/>
      <c r="BV183" s="8"/>
      <c r="BW183" s="8"/>
      <c r="BX183" s="8"/>
    </row>
    <row r="184" spans="1:76" ht="16.5" customHeight="1" x14ac:dyDescent="0.3">
      <c r="A184" t="s">
        <v>573</v>
      </c>
      <c r="B184" t="s">
        <v>656</v>
      </c>
      <c r="C184" t="s">
        <v>693</v>
      </c>
      <c r="D184" t="s">
        <v>717</v>
      </c>
      <c r="E184" t="s">
        <v>719</v>
      </c>
      <c r="F184" t="s">
        <v>719</v>
      </c>
      <c r="G184" s="5">
        <v>1495061</v>
      </c>
      <c r="H184" s="7" t="s">
        <v>346</v>
      </c>
      <c r="I184" s="5" t="s">
        <v>253</v>
      </c>
      <c r="J184" s="5">
        <v>2</v>
      </c>
      <c r="K184" s="5" t="s">
        <v>102</v>
      </c>
      <c r="L184" s="5" t="s">
        <v>109</v>
      </c>
      <c r="M184" s="5" t="s">
        <v>94</v>
      </c>
      <c r="N184" s="5" t="s">
        <v>283</v>
      </c>
      <c r="O184" s="4"/>
      <c r="P184" s="24">
        <f t="shared" si="36"/>
        <v>19</v>
      </c>
      <c r="Q184" s="8">
        <f t="shared" si="37"/>
        <v>0</v>
      </c>
      <c r="R184" s="8">
        <f t="shared" si="38"/>
        <v>19</v>
      </c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>
        <v>1</v>
      </c>
      <c r="AK184" s="8"/>
      <c r="AL184" s="8"/>
      <c r="AM184" s="8"/>
      <c r="AN184" s="8"/>
      <c r="AO184" s="8"/>
      <c r="AP184" s="8">
        <v>2</v>
      </c>
      <c r="AQ184" s="8"/>
      <c r="AR184" s="8"/>
      <c r="AS184" s="8"/>
      <c r="AT184" s="8"/>
      <c r="AU184" s="8"/>
      <c r="AV184" s="8"/>
      <c r="AW184" s="8"/>
      <c r="AX184" s="8"/>
      <c r="AY184" s="8">
        <v>4</v>
      </c>
      <c r="AZ184" s="8"/>
      <c r="BA184" s="8"/>
      <c r="BB184" s="8"/>
      <c r="BC184" s="8"/>
      <c r="BD184" s="8"/>
      <c r="BE184" s="8"/>
      <c r="BF184" s="8"/>
      <c r="BG184" s="8"/>
      <c r="BH184" s="8">
        <v>1</v>
      </c>
      <c r="BI184" s="8"/>
      <c r="BJ184" s="8">
        <v>4</v>
      </c>
      <c r="BK184" s="8"/>
      <c r="BL184" s="8">
        <v>1</v>
      </c>
      <c r="BM184" s="8"/>
      <c r="BN184" s="8"/>
      <c r="BO184" s="8"/>
      <c r="BP184" s="8"/>
      <c r="BQ184" s="8">
        <v>5</v>
      </c>
      <c r="BR184" s="8"/>
      <c r="BS184" s="8">
        <v>1</v>
      </c>
      <c r="BT184" s="8"/>
      <c r="BU184" s="8"/>
      <c r="BV184" s="8"/>
      <c r="BW184" s="8"/>
      <c r="BX184" s="8"/>
    </row>
    <row r="185" spans="1:76" ht="16.5" customHeight="1" x14ac:dyDescent="0.3">
      <c r="A185" t="s">
        <v>573</v>
      </c>
      <c r="B185" t="s">
        <v>656</v>
      </c>
      <c r="C185" t="s">
        <v>693</v>
      </c>
      <c r="D185" t="s">
        <v>717</v>
      </c>
      <c r="E185" t="s">
        <v>665</v>
      </c>
      <c r="F185" t="s">
        <v>665</v>
      </c>
      <c r="G185" s="5">
        <v>1495069</v>
      </c>
      <c r="H185" s="7" t="s">
        <v>284</v>
      </c>
      <c r="I185" s="5" t="s">
        <v>253</v>
      </c>
      <c r="J185" s="5">
        <v>2</v>
      </c>
      <c r="K185" s="5" t="s">
        <v>102</v>
      </c>
      <c r="L185" s="5" t="s">
        <v>109</v>
      </c>
      <c r="M185" s="5" t="s">
        <v>94</v>
      </c>
      <c r="N185" s="5" t="s">
        <v>285</v>
      </c>
      <c r="O185" s="4"/>
      <c r="P185" s="24">
        <f t="shared" si="36"/>
        <v>11</v>
      </c>
      <c r="Q185" s="8">
        <f t="shared" si="37"/>
        <v>0</v>
      </c>
      <c r="R185" s="8">
        <f t="shared" si="38"/>
        <v>11</v>
      </c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>
        <v>1</v>
      </c>
      <c r="AK185" s="8"/>
      <c r="AL185" s="8"/>
      <c r="AM185" s="8"/>
      <c r="AN185" s="8">
        <v>1</v>
      </c>
      <c r="AO185" s="8"/>
      <c r="AP185" s="8"/>
      <c r="AQ185" s="8"/>
      <c r="AR185" s="8"/>
      <c r="AS185" s="8"/>
      <c r="AT185" s="8"/>
      <c r="AU185" s="8"/>
      <c r="AV185" s="8"/>
      <c r="AW185" s="8">
        <v>1</v>
      </c>
      <c r="AX185" s="8"/>
      <c r="AY185" s="8">
        <v>2</v>
      </c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>
        <v>3</v>
      </c>
      <c r="BK185" s="8"/>
      <c r="BL185" s="8"/>
      <c r="BM185" s="8"/>
      <c r="BN185" s="8"/>
      <c r="BO185" s="8"/>
      <c r="BP185" s="8"/>
      <c r="BQ185" s="8">
        <v>2</v>
      </c>
      <c r="BR185" s="8"/>
      <c r="BS185" s="8">
        <v>1</v>
      </c>
      <c r="BT185" s="8"/>
      <c r="BU185" s="8"/>
      <c r="BV185" s="8"/>
      <c r="BW185" s="8"/>
      <c r="BX185" s="8"/>
    </row>
    <row r="186" spans="1:76" ht="16.5" customHeight="1" x14ac:dyDescent="0.3">
      <c r="A186" t="s">
        <v>573</v>
      </c>
      <c r="B186" t="s">
        <v>656</v>
      </c>
      <c r="C186" t="s">
        <v>693</v>
      </c>
      <c r="D186" t="s">
        <v>717</v>
      </c>
      <c r="E186" t="s">
        <v>666</v>
      </c>
      <c r="F186" t="s">
        <v>666</v>
      </c>
      <c r="G186" s="5">
        <v>1495082</v>
      </c>
      <c r="H186" s="7" t="s">
        <v>286</v>
      </c>
      <c r="I186" s="5" t="s">
        <v>253</v>
      </c>
      <c r="J186" s="5">
        <v>2</v>
      </c>
      <c r="K186" s="5" t="s">
        <v>102</v>
      </c>
      <c r="L186" s="5" t="s">
        <v>109</v>
      </c>
      <c r="M186" s="5" t="s">
        <v>94</v>
      </c>
      <c r="N186" s="5" t="s">
        <v>285</v>
      </c>
      <c r="O186" s="4"/>
      <c r="P186" s="24">
        <f t="shared" si="36"/>
        <v>14</v>
      </c>
      <c r="Q186" s="8">
        <f t="shared" si="37"/>
        <v>0</v>
      </c>
      <c r="R186" s="8">
        <f t="shared" si="38"/>
        <v>14</v>
      </c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>
        <v>1</v>
      </c>
      <c r="AK186" s="8"/>
      <c r="AL186" s="8"/>
      <c r="AM186" s="8"/>
      <c r="AN186" s="8">
        <v>1</v>
      </c>
      <c r="AO186" s="8"/>
      <c r="AP186" s="8"/>
      <c r="AQ186" s="8"/>
      <c r="AR186" s="8"/>
      <c r="AS186" s="8"/>
      <c r="AT186" s="8"/>
      <c r="AU186" s="8"/>
      <c r="AV186" s="8"/>
      <c r="AW186" s="8">
        <v>1</v>
      </c>
      <c r="AX186" s="8"/>
      <c r="AY186" s="8">
        <v>1</v>
      </c>
      <c r="AZ186" s="8"/>
      <c r="BA186" s="8"/>
      <c r="BB186" s="8"/>
      <c r="BC186" s="8"/>
      <c r="BD186" s="8"/>
      <c r="BE186" s="8"/>
      <c r="BF186" s="8"/>
      <c r="BG186" s="8"/>
      <c r="BH186" s="8">
        <v>2</v>
      </c>
      <c r="BI186" s="8"/>
      <c r="BJ186" s="8">
        <v>2</v>
      </c>
      <c r="BK186" s="8"/>
      <c r="BL186" s="8">
        <v>1</v>
      </c>
      <c r="BM186" s="8"/>
      <c r="BN186" s="8"/>
      <c r="BO186" s="8"/>
      <c r="BP186" s="8"/>
      <c r="BQ186" s="8">
        <v>2</v>
      </c>
      <c r="BR186" s="8"/>
      <c r="BS186" s="8"/>
      <c r="BT186" s="8">
        <v>1</v>
      </c>
      <c r="BU186" s="8">
        <v>1</v>
      </c>
      <c r="BV186" s="8">
        <v>1</v>
      </c>
      <c r="BW186" s="8"/>
      <c r="BX186" s="8"/>
    </row>
    <row r="187" spans="1:76" ht="16.5" customHeight="1" x14ac:dyDescent="0.3">
      <c r="A187" t="s">
        <v>573</v>
      </c>
      <c r="B187" t="s">
        <v>656</v>
      </c>
      <c r="C187" t="s">
        <v>693</v>
      </c>
      <c r="D187" t="s">
        <v>717</v>
      </c>
      <c r="E187" t="s">
        <v>670</v>
      </c>
      <c r="F187" t="s">
        <v>670</v>
      </c>
      <c r="G187" s="5">
        <v>1495110</v>
      </c>
      <c r="H187" s="7" t="s">
        <v>288</v>
      </c>
      <c r="I187" s="5" t="s">
        <v>253</v>
      </c>
      <c r="J187" s="5">
        <v>2</v>
      </c>
      <c r="K187" s="5" t="s">
        <v>102</v>
      </c>
      <c r="L187" s="5" t="s">
        <v>109</v>
      </c>
      <c r="M187" s="5" t="s">
        <v>94</v>
      </c>
      <c r="N187" s="5" t="s">
        <v>285</v>
      </c>
      <c r="O187" s="4"/>
      <c r="P187" s="24">
        <f t="shared" si="36"/>
        <v>27</v>
      </c>
      <c r="Q187" s="8">
        <f t="shared" si="37"/>
        <v>0</v>
      </c>
      <c r="R187" s="8">
        <f t="shared" si="38"/>
        <v>27</v>
      </c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>
        <v>2</v>
      </c>
      <c r="AJ187" s="8"/>
      <c r="AK187" s="8"/>
      <c r="AL187" s="8"/>
      <c r="AM187" s="8"/>
      <c r="AN187" s="8">
        <v>9</v>
      </c>
      <c r="AO187" s="8"/>
      <c r="AP187" s="8"/>
      <c r="AQ187" s="8"/>
      <c r="AR187" s="8"/>
      <c r="AS187" s="8"/>
      <c r="AT187" s="8"/>
      <c r="AU187" s="8"/>
      <c r="AV187" s="8"/>
      <c r="AW187" s="8">
        <v>12</v>
      </c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>
        <v>3</v>
      </c>
      <c r="BI187" s="8"/>
      <c r="BJ187" s="8"/>
      <c r="BK187" s="8"/>
      <c r="BL187" s="8"/>
      <c r="BM187" s="8"/>
      <c r="BN187" s="8"/>
      <c r="BO187" s="8">
        <v>1</v>
      </c>
      <c r="BP187" s="8"/>
      <c r="BQ187" s="8"/>
      <c r="BR187" s="8"/>
      <c r="BS187" s="8"/>
      <c r="BT187" s="8"/>
      <c r="BU187" s="8"/>
      <c r="BV187" s="8"/>
      <c r="BW187" s="8"/>
      <c r="BX187" s="8"/>
    </row>
    <row r="188" spans="1:76" ht="16.5" customHeight="1" x14ac:dyDescent="0.3">
      <c r="A188" t="s">
        <v>573</v>
      </c>
      <c r="B188" t="s">
        <v>656</v>
      </c>
      <c r="C188" t="s">
        <v>693</v>
      </c>
      <c r="D188" t="s">
        <v>717</v>
      </c>
      <c r="E188" t="s">
        <v>671</v>
      </c>
      <c r="F188" t="s">
        <v>671</v>
      </c>
      <c r="G188" s="5">
        <v>1495145</v>
      </c>
      <c r="H188" s="7" t="s">
        <v>289</v>
      </c>
      <c r="I188" s="5" t="s">
        <v>253</v>
      </c>
      <c r="J188" s="5">
        <v>2</v>
      </c>
      <c r="K188" s="5" t="s">
        <v>102</v>
      </c>
      <c r="L188" s="5" t="s">
        <v>109</v>
      </c>
      <c r="M188" s="5" t="s">
        <v>94</v>
      </c>
      <c r="N188" s="5" t="s">
        <v>285</v>
      </c>
      <c r="O188" s="4"/>
      <c r="P188" s="24">
        <f t="shared" si="36"/>
        <v>19</v>
      </c>
      <c r="Q188" s="8">
        <f t="shared" si="37"/>
        <v>0</v>
      </c>
      <c r="R188" s="8">
        <f t="shared" si="38"/>
        <v>19</v>
      </c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>
        <v>1</v>
      </c>
      <c r="AJ188" s="8"/>
      <c r="AK188" s="8"/>
      <c r="AL188" s="8"/>
      <c r="AM188" s="8"/>
      <c r="AN188" s="8">
        <v>7</v>
      </c>
      <c r="AO188" s="8"/>
      <c r="AP188" s="8"/>
      <c r="AQ188" s="8"/>
      <c r="AR188" s="8"/>
      <c r="AS188" s="8"/>
      <c r="AT188" s="8"/>
      <c r="AU188" s="8"/>
      <c r="AV188" s="8"/>
      <c r="AW188" s="8">
        <v>8</v>
      </c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>
        <v>2</v>
      </c>
      <c r="BI188" s="8"/>
      <c r="BJ188" s="8"/>
      <c r="BK188" s="8"/>
      <c r="BL188" s="8"/>
      <c r="BM188" s="8"/>
      <c r="BN188" s="8"/>
      <c r="BO188" s="8">
        <v>1</v>
      </c>
      <c r="BP188" s="8"/>
      <c r="BQ188" s="8"/>
      <c r="BR188" s="8"/>
      <c r="BS188" s="8"/>
      <c r="BT188" s="8"/>
      <c r="BU188" s="8"/>
      <c r="BV188" s="8"/>
      <c r="BW188" s="8"/>
      <c r="BX188" s="8"/>
    </row>
    <row r="189" spans="1:76" ht="16.5" customHeight="1" x14ac:dyDescent="0.3">
      <c r="A189" t="s">
        <v>573</v>
      </c>
      <c r="B189" t="s">
        <v>656</v>
      </c>
      <c r="C189" t="s">
        <v>693</v>
      </c>
      <c r="D189" t="s">
        <v>717</v>
      </c>
      <c r="E189" t="s">
        <v>672</v>
      </c>
      <c r="F189" t="s">
        <v>672</v>
      </c>
      <c r="G189" s="5">
        <v>1495179</v>
      </c>
      <c r="H189" s="7" t="s">
        <v>290</v>
      </c>
      <c r="I189" s="5" t="s">
        <v>253</v>
      </c>
      <c r="J189" s="5">
        <v>2</v>
      </c>
      <c r="K189" s="5" t="s">
        <v>102</v>
      </c>
      <c r="L189" s="5" t="s">
        <v>109</v>
      </c>
      <c r="M189" s="5" t="s">
        <v>94</v>
      </c>
      <c r="N189" s="5" t="s">
        <v>285</v>
      </c>
      <c r="O189" s="4"/>
      <c r="P189" s="24">
        <f t="shared" si="36"/>
        <v>18</v>
      </c>
      <c r="Q189" s="8">
        <f t="shared" si="37"/>
        <v>0</v>
      </c>
      <c r="R189" s="8">
        <f t="shared" si="38"/>
        <v>18</v>
      </c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>
        <v>7</v>
      </c>
      <c r="AO189" s="8"/>
      <c r="AP189" s="8"/>
      <c r="AQ189" s="8"/>
      <c r="AR189" s="8"/>
      <c r="AS189" s="8"/>
      <c r="AT189" s="8"/>
      <c r="AU189" s="8"/>
      <c r="AV189" s="8"/>
      <c r="AW189" s="8">
        <v>8</v>
      </c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>
        <v>2</v>
      </c>
      <c r="BI189" s="8"/>
      <c r="BJ189" s="8"/>
      <c r="BK189" s="8"/>
      <c r="BL189" s="8"/>
      <c r="BM189" s="8"/>
      <c r="BN189" s="8"/>
      <c r="BO189" s="8">
        <v>1</v>
      </c>
      <c r="BP189" s="8"/>
      <c r="BQ189" s="8"/>
      <c r="BR189" s="8"/>
      <c r="BS189" s="8"/>
      <c r="BT189" s="8"/>
      <c r="BU189" s="8"/>
      <c r="BV189" s="8"/>
      <c r="BW189" s="8"/>
      <c r="BX189" s="8"/>
    </row>
    <row r="190" spans="1:76" ht="16.5" customHeight="1" x14ac:dyDescent="0.3">
      <c r="A190" t="s">
        <v>573</v>
      </c>
      <c r="B190" t="s">
        <v>656</v>
      </c>
      <c r="C190" t="s">
        <v>693</v>
      </c>
      <c r="D190" t="s">
        <v>717</v>
      </c>
      <c r="E190" t="s">
        <v>679</v>
      </c>
      <c r="F190" t="s">
        <v>679</v>
      </c>
      <c r="G190" s="5">
        <v>1495210</v>
      </c>
      <c r="H190" s="7" t="s">
        <v>291</v>
      </c>
      <c r="I190" s="5" t="s">
        <v>253</v>
      </c>
      <c r="J190" s="5">
        <v>2</v>
      </c>
      <c r="K190" s="5" t="s">
        <v>102</v>
      </c>
      <c r="L190" s="5" t="s">
        <v>109</v>
      </c>
      <c r="M190" s="5" t="s">
        <v>94</v>
      </c>
      <c r="N190" s="5" t="s">
        <v>285</v>
      </c>
      <c r="O190" s="4"/>
      <c r="P190" s="24">
        <f t="shared" si="36"/>
        <v>10</v>
      </c>
      <c r="Q190" s="8">
        <f t="shared" si="37"/>
        <v>0</v>
      </c>
      <c r="R190" s="8">
        <f t="shared" si="38"/>
        <v>10</v>
      </c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>
        <v>1</v>
      </c>
      <c r="AJ190" s="8"/>
      <c r="AK190" s="8"/>
      <c r="AL190" s="8"/>
      <c r="AM190" s="8"/>
      <c r="AN190" s="8">
        <v>4</v>
      </c>
      <c r="AO190" s="8"/>
      <c r="AP190" s="8"/>
      <c r="AQ190" s="8"/>
      <c r="AR190" s="8"/>
      <c r="AS190" s="8"/>
      <c r="AT190" s="8"/>
      <c r="AU190" s="8"/>
      <c r="AV190" s="8"/>
      <c r="AW190" s="8">
        <v>4</v>
      </c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>
        <v>1</v>
      </c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</row>
    <row r="191" spans="1:76" ht="16.5" customHeight="1" x14ac:dyDescent="0.3">
      <c r="A191" t="s">
        <v>573</v>
      </c>
      <c r="B191" t="s">
        <v>656</v>
      </c>
      <c r="C191" t="s">
        <v>693</v>
      </c>
      <c r="D191" t="s">
        <v>717</v>
      </c>
      <c r="E191" t="s">
        <v>675</v>
      </c>
      <c r="F191" t="s">
        <v>675</v>
      </c>
      <c r="G191" s="5">
        <v>1495234</v>
      </c>
      <c r="H191" s="7" t="s">
        <v>297</v>
      </c>
      <c r="I191" s="5" t="s">
        <v>253</v>
      </c>
      <c r="J191" s="5">
        <v>2</v>
      </c>
      <c r="K191" s="5" t="s">
        <v>102</v>
      </c>
      <c r="L191" s="5" t="s">
        <v>109</v>
      </c>
      <c r="M191" s="5" t="s">
        <v>94</v>
      </c>
      <c r="N191" s="5" t="s">
        <v>285</v>
      </c>
      <c r="O191" s="4"/>
      <c r="P191" s="24">
        <f t="shared" si="36"/>
        <v>5</v>
      </c>
      <c r="Q191" s="8">
        <f t="shared" si="37"/>
        <v>0</v>
      </c>
      <c r="R191" s="8">
        <f t="shared" si="38"/>
        <v>5</v>
      </c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>
        <v>1</v>
      </c>
      <c r="AL191" s="8"/>
      <c r="AM191" s="8"/>
      <c r="AN191" s="8"/>
      <c r="AO191" s="8"/>
      <c r="AP191" s="8"/>
      <c r="AQ191" s="8">
        <v>2</v>
      </c>
      <c r="AR191" s="8"/>
      <c r="AS191" s="8"/>
      <c r="AT191" s="8"/>
      <c r="AU191" s="8"/>
      <c r="AV191" s="8"/>
      <c r="AW191" s="8"/>
      <c r="AX191" s="8"/>
      <c r="AY191" s="8"/>
      <c r="AZ191" s="8">
        <v>2</v>
      </c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</row>
    <row r="192" spans="1:76" ht="16.5" customHeight="1" x14ac:dyDescent="0.3">
      <c r="A192" t="s">
        <v>573</v>
      </c>
      <c r="B192" t="s">
        <v>656</v>
      </c>
      <c r="C192" t="s">
        <v>693</v>
      </c>
      <c r="D192" t="s">
        <v>717</v>
      </c>
      <c r="E192" t="s">
        <v>676</v>
      </c>
      <c r="F192" t="s">
        <v>676</v>
      </c>
      <c r="G192" s="5">
        <v>1495256</v>
      </c>
      <c r="H192" s="7" t="s">
        <v>292</v>
      </c>
      <c r="I192" s="5" t="s">
        <v>253</v>
      </c>
      <c r="J192" s="5">
        <v>2</v>
      </c>
      <c r="K192" s="5" t="s">
        <v>102</v>
      </c>
      <c r="L192" s="5" t="s">
        <v>109</v>
      </c>
      <c r="M192" s="5" t="s">
        <v>94</v>
      </c>
      <c r="N192" s="5" t="s">
        <v>285</v>
      </c>
      <c r="O192" s="4"/>
      <c r="P192" s="24">
        <f t="shared" si="36"/>
        <v>25</v>
      </c>
      <c r="Q192" s="8">
        <f t="shared" si="37"/>
        <v>0</v>
      </c>
      <c r="R192" s="8">
        <f t="shared" si="38"/>
        <v>25</v>
      </c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>
        <v>1</v>
      </c>
      <c r="AL192" s="8"/>
      <c r="AM192" s="8"/>
      <c r="AN192" s="8">
        <v>1</v>
      </c>
      <c r="AO192" s="8"/>
      <c r="AP192" s="8"/>
      <c r="AQ192" s="8">
        <v>7</v>
      </c>
      <c r="AR192" s="8"/>
      <c r="AS192" s="8"/>
      <c r="AT192" s="8"/>
      <c r="AU192" s="8">
        <v>3</v>
      </c>
      <c r="AV192" s="8">
        <v>1</v>
      </c>
      <c r="AW192" s="8"/>
      <c r="AX192" s="8"/>
      <c r="AY192" s="8"/>
      <c r="AZ192" s="8">
        <v>7</v>
      </c>
      <c r="BA192" s="8"/>
      <c r="BB192" s="8"/>
      <c r="BC192" s="8"/>
      <c r="BD192" s="8">
        <v>2</v>
      </c>
      <c r="BE192" s="8">
        <v>1</v>
      </c>
      <c r="BF192" s="8"/>
      <c r="BG192" s="8"/>
      <c r="BH192" s="8">
        <v>2</v>
      </c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</row>
    <row r="193" spans="1:76" ht="16.5" customHeight="1" x14ac:dyDescent="0.3">
      <c r="G193" s="14">
        <v>1495049</v>
      </c>
      <c r="H193" s="15" t="s">
        <v>347</v>
      </c>
      <c r="I193" s="14" t="s">
        <v>253</v>
      </c>
      <c r="J193" s="14">
        <v>2</v>
      </c>
      <c r="K193" s="14" t="s">
        <v>254</v>
      </c>
      <c r="L193" s="14" t="s">
        <v>255</v>
      </c>
      <c r="M193" s="14" t="s">
        <v>94</v>
      </c>
      <c r="N193" s="14" t="s">
        <v>110</v>
      </c>
      <c r="O193" s="13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</row>
    <row r="194" spans="1:76" ht="16.5" customHeight="1" x14ac:dyDescent="0.3">
      <c r="A194" t="s">
        <v>573</v>
      </c>
      <c r="B194" t="s">
        <v>656</v>
      </c>
      <c r="C194" t="s">
        <v>693</v>
      </c>
      <c r="D194" t="s">
        <v>720</v>
      </c>
      <c r="E194" t="s">
        <v>720</v>
      </c>
      <c r="F194" t="s">
        <v>720</v>
      </c>
      <c r="G194" s="5">
        <v>1495049</v>
      </c>
      <c r="H194" s="38" t="s">
        <v>348</v>
      </c>
      <c r="I194" s="5" t="s">
        <v>253</v>
      </c>
      <c r="J194" s="5">
        <v>2</v>
      </c>
      <c r="K194" s="5" t="s">
        <v>254</v>
      </c>
      <c r="L194" s="5" t="s">
        <v>255</v>
      </c>
      <c r="M194" s="5" t="s">
        <v>94</v>
      </c>
      <c r="N194" s="5" t="s">
        <v>110</v>
      </c>
      <c r="O194" s="4"/>
      <c r="P194" s="24">
        <f t="shared" ref="P194:P204" si="39">SUM(Q194,R194)</f>
        <v>1</v>
      </c>
      <c r="Q194" s="8">
        <f t="shared" ref="Q194:Q204" si="40">S194</f>
        <v>0</v>
      </c>
      <c r="R194" s="8">
        <f t="shared" ref="R194:R204" si="41">SUM(T194:BX194)</f>
        <v>1</v>
      </c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>
        <v>1</v>
      </c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</row>
    <row r="195" spans="1:76" ht="16.5" customHeight="1" x14ac:dyDescent="0.3">
      <c r="A195" t="s">
        <v>573</v>
      </c>
      <c r="B195" t="s">
        <v>656</v>
      </c>
      <c r="C195" t="s">
        <v>693</v>
      </c>
      <c r="D195" t="s">
        <v>720</v>
      </c>
      <c r="E195" t="s">
        <v>721</v>
      </c>
      <c r="F195" t="s">
        <v>721</v>
      </c>
      <c r="G195" s="5">
        <v>1495056</v>
      </c>
      <c r="H195" s="7" t="s">
        <v>349</v>
      </c>
      <c r="I195" s="5" t="s">
        <v>253</v>
      </c>
      <c r="J195" s="5">
        <v>2</v>
      </c>
      <c r="K195" s="5" t="s">
        <v>102</v>
      </c>
      <c r="L195" s="5" t="s">
        <v>109</v>
      </c>
      <c r="M195" s="5" t="s">
        <v>94</v>
      </c>
      <c r="N195" s="5" t="s">
        <v>283</v>
      </c>
      <c r="O195" s="4"/>
      <c r="P195" s="24">
        <f t="shared" si="39"/>
        <v>38</v>
      </c>
      <c r="Q195" s="8">
        <f t="shared" si="40"/>
        <v>0</v>
      </c>
      <c r="R195" s="8">
        <f t="shared" si="41"/>
        <v>38</v>
      </c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>
        <v>1</v>
      </c>
      <c r="AF195" s="8"/>
      <c r="AG195" s="8"/>
      <c r="AH195" s="8"/>
      <c r="AI195" s="8"/>
      <c r="AJ195" s="8"/>
      <c r="AK195" s="8"/>
      <c r="AL195" s="8"/>
      <c r="AM195" s="8"/>
      <c r="AN195" s="8">
        <v>1</v>
      </c>
      <c r="AO195" s="8"/>
      <c r="AP195" s="8">
        <v>3</v>
      </c>
      <c r="AQ195" s="8"/>
      <c r="AR195" s="8"/>
      <c r="AS195" s="8"/>
      <c r="AT195" s="8"/>
      <c r="AU195" s="8"/>
      <c r="AV195" s="8"/>
      <c r="AW195" s="8">
        <v>1</v>
      </c>
      <c r="AX195" s="8"/>
      <c r="AY195" s="8">
        <v>6</v>
      </c>
      <c r="AZ195" s="8"/>
      <c r="BA195" s="8"/>
      <c r="BB195" s="8"/>
      <c r="BC195" s="8"/>
      <c r="BD195" s="8"/>
      <c r="BE195" s="8"/>
      <c r="BF195" s="8"/>
      <c r="BG195" s="8"/>
      <c r="BH195" s="8">
        <v>1</v>
      </c>
      <c r="BI195" s="8"/>
      <c r="BJ195" s="8">
        <v>11</v>
      </c>
      <c r="BK195" s="8"/>
      <c r="BL195" s="8">
        <v>1</v>
      </c>
      <c r="BM195" s="8"/>
      <c r="BN195" s="8"/>
      <c r="BO195" s="8"/>
      <c r="BP195" s="8"/>
      <c r="BQ195" s="8">
        <v>7</v>
      </c>
      <c r="BR195" s="8"/>
      <c r="BS195" s="8">
        <v>6</v>
      </c>
      <c r="BT195" s="8"/>
      <c r="BU195" s="8"/>
      <c r="BV195" s="8"/>
      <c r="BW195" s="8"/>
      <c r="BX195" s="8"/>
    </row>
    <row r="196" spans="1:76" ht="16.5" customHeight="1" x14ac:dyDescent="0.3">
      <c r="A196" t="s">
        <v>573</v>
      </c>
      <c r="B196" t="s">
        <v>656</v>
      </c>
      <c r="C196" t="s">
        <v>693</v>
      </c>
      <c r="D196" t="s">
        <v>720</v>
      </c>
      <c r="E196" t="s">
        <v>722</v>
      </c>
      <c r="F196" t="s">
        <v>722</v>
      </c>
      <c r="G196" s="5">
        <v>1495064</v>
      </c>
      <c r="H196" s="7" t="s">
        <v>350</v>
      </c>
      <c r="I196" s="5" t="s">
        <v>253</v>
      </c>
      <c r="J196" s="5">
        <v>2</v>
      </c>
      <c r="K196" s="5" t="s">
        <v>102</v>
      </c>
      <c r="L196" s="5" t="s">
        <v>109</v>
      </c>
      <c r="M196" s="5" t="s">
        <v>94</v>
      </c>
      <c r="N196" s="5" t="s">
        <v>283</v>
      </c>
      <c r="O196" s="4"/>
      <c r="P196" s="24">
        <f t="shared" si="39"/>
        <v>11</v>
      </c>
      <c r="Q196" s="8">
        <f t="shared" si="40"/>
        <v>0</v>
      </c>
      <c r="R196" s="8">
        <f t="shared" si="41"/>
        <v>11</v>
      </c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>
        <v>1</v>
      </c>
      <c r="AJ196" s="8"/>
      <c r="AK196" s="8"/>
      <c r="AL196" s="8"/>
      <c r="AM196" s="8"/>
      <c r="AN196" s="8"/>
      <c r="AO196" s="8"/>
      <c r="AP196" s="8">
        <v>1</v>
      </c>
      <c r="AQ196" s="8"/>
      <c r="AR196" s="8"/>
      <c r="AS196" s="8"/>
      <c r="AT196" s="8"/>
      <c r="AU196" s="8"/>
      <c r="AV196" s="8"/>
      <c r="AW196" s="8">
        <v>1</v>
      </c>
      <c r="AX196" s="8"/>
      <c r="AY196" s="8">
        <v>1</v>
      </c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>
        <v>2</v>
      </c>
      <c r="BK196" s="8"/>
      <c r="BL196" s="8">
        <v>1</v>
      </c>
      <c r="BM196" s="8"/>
      <c r="BN196" s="8"/>
      <c r="BO196" s="8"/>
      <c r="BP196" s="8"/>
      <c r="BQ196" s="8">
        <v>3</v>
      </c>
      <c r="BR196" s="8"/>
      <c r="BS196" s="8">
        <v>1</v>
      </c>
      <c r="BT196" s="8"/>
      <c r="BU196" s="8"/>
      <c r="BV196" s="8"/>
      <c r="BW196" s="8"/>
      <c r="BX196" s="8"/>
    </row>
    <row r="197" spans="1:76" ht="16.5" customHeight="1" x14ac:dyDescent="0.3">
      <c r="A197" t="s">
        <v>573</v>
      </c>
      <c r="B197" t="s">
        <v>656</v>
      </c>
      <c r="C197" t="s">
        <v>693</v>
      </c>
      <c r="D197" t="s">
        <v>720</v>
      </c>
      <c r="E197" t="s">
        <v>723</v>
      </c>
      <c r="F197" t="s">
        <v>723</v>
      </c>
      <c r="G197" s="5">
        <v>1495072</v>
      </c>
      <c r="H197" s="7" t="s">
        <v>351</v>
      </c>
      <c r="I197" s="5" t="s">
        <v>253</v>
      </c>
      <c r="J197" s="5">
        <v>2</v>
      </c>
      <c r="K197" s="5" t="s">
        <v>102</v>
      </c>
      <c r="L197" s="5" t="s">
        <v>109</v>
      </c>
      <c r="M197" s="5" t="s">
        <v>94</v>
      </c>
      <c r="N197" s="5" t="s">
        <v>283</v>
      </c>
      <c r="O197" s="4"/>
      <c r="P197" s="24">
        <f t="shared" si="39"/>
        <v>8</v>
      </c>
      <c r="Q197" s="8">
        <f t="shared" si="40"/>
        <v>0</v>
      </c>
      <c r="R197" s="8">
        <f t="shared" si="41"/>
        <v>8</v>
      </c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>
        <v>1</v>
      </c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>
        <v>2</v>
      </c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>
        <v>1</v>
      </c>
      <c r="BK197" s="8"/>
      <c r="BL197" s="8">
        <v>1</v>
      </c>
      <c r="BM197" s="8"/>
      <c r="BN197" s="8"/>
      <c r="BO197" s="8"/>
      <c r="BP197" s="8"/>
      <c r="BQ197" s="8">
        <v>3</v>
      </c>
      <c r="BR197" s="8"/>
      <c r="BS197" s="8"/>
      <c r="BT197" s="8"/>
      <c r="BU197" s="8"/>
      <c r="BV197" s="8"/>
      <c r="BW197" s="8"/>
      <c r="BX197" s="8"/>
    </row>
    <row r="198" spans="1:76" ht="16.5" customHeight="1" x14ac:dyDescent="0.3">
      <c r="A198" t="s">
        <v>573</v>
      </c>
      <c r="B198" t="s">
        <v>656</v>
      </c>
      <c r="C198" t="s">
        <v>693</v>
      </c>
      <c r="D198" t="s">
        <v>720</v>
      </c>
      <c r="E198" t="s">
        <v>665</v>
      </c>
      <c r="F198" t="s">
        <v>665</v>
      </c>
      <c r="G198" s="5">
        <v>1495085</v>
      </c>
      <c r="H198" s="7" t="s">
        <v>284</v>
      </c>
      <c r="I198" s="5" t="s">
        <v>253</v>
      </c>
      <c r="J198" s="5">
        <v>2</v>
      </c>
      <c r="K198" s="5" t="s">
        <v>102</v>
      </c>
      <c r="L198" s="5" t="s">
        <v>109</v>
      </c>
      <c r="M198" s="5" t="s">
        <v>94</v>
      </c>
      <c r="N198" s="5" t="s">
        <v>285</v>
      </c>
      <c r="O198" s="4"/>
      <c r="P198" s="24">
        <f t="shared" si="39"/>
        <v>17</v>
      </c>
      <c r="Q198" s="8">
        <f t="shared" si="40"/>
        <v>0</v>
      </c>
      <c r="R198" s="8">
        <f t="shared" si="41"/>
        <v>17</v>
      </c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>
        <v>1</v>
      </c>
      <c r="AK198" s="8"/>
      <c r="AL198" s="8"/>
      <c r="AM198" s="8"/>
      <c r="AN198" s="8">
        <v>1</v>
      </c>
      <c r="AO198" s="8"/>
      <c r="AP198" s="8">
        <v>1</v>
      </c>
      <c r="AQ198" s="8"/>
      <c r="AR198" s="8"/>
      <c r="AS198" s="8"/>
      <c r="AT198" s="8"/>
      <c r="AU198" s="8"/>
      <c r="AV198" s="8"/>
      <c r="AW198" s="8">
        <v>2</v>
      </c>
      <c r="AX198" s="8"/>
      <c r="AY198" s="8">
        <v>2</v>
      </c>
      <c r="AZ198" s="8"/>
      <c r="BA198" s="8"/>
      <c r="BB198" s="8"/>
      <c r="BC198" s="8"/>
      <c r="BD198" s="8"/>
      <c r="BE198" s="8"/>
      <c r="BF198" s="8"/>
      <c r="BG198" s="8"/>
      <c r="BH198" s="8">
        <v>2</v>
      </c>
      <c r="BI198" s="8"/>
      <c r="BJ198" s="8">
        <v>3</v>
      </c>
      <c r="BK198" s="8"/>
      <c r="BL198" s="8"/>
      <c r="BM198" s="8"/>
      <c r="BN198" s="8"/>
      <c r="BO198" s="8"/>
      <c r="BP198" s="8"/>
      <c r="BQ198" s="8">
        <v>4</v>
      </c>
      <c r="BR198" s="8"/>
      <c r="BS198" s="8"/>
      <c r="BT198" s="8"/>
      <c r="BU198" s="8"/>
      <c r="BV198" s="8">
        <v>1</v>
      </c>
      <c r="BW198" s="8"/>
      <c r="BX198" s="8"/>
    </row>
    <row r="199" spans="1:76" ht="16.5" customHeight="1" x14ac:dyDescent="0.3">
      <c r="A199" t="s">
        <v>573</v>
      </c>
      <c r="B199" t="s">
        <v>656</v>
      </c>
      <c r="C199" t="s">
        <v>693</v>
      </c>
      <c r="D199" t="s">
        <v>720</v>
      </c>
      <c r="E199" t="s">
        <v>670</v>
      </c>
      <c r="F199" t="s">
        <v>670</v>
      </c>
      <c r="G199" s="5">
        <v>1495113</v>
      </c>
      <c r="H199" s="7" t="s">
        <v>288</v>
      </c>
      <c r="I199" s="5" t="s">
        <v>253</v>
      </c>
      <c r="J199" s="5">
        <v>2</v>
      </c>
      <c r="K199" s="5" t="s">
        <v>102</v>
      </c>
      <c r="L199" s="5" t="s">
        <v>109</v>
      </c>
      <c r="M199" s="5" t="s">
        <v>94</v>
      </c>
      <c r="N199" s="5" t="s">
        <v>285</v>
      </c>
      <c r="O199" s="4"/>
      <c r="P199" s="24">
        <f t="shared" si="39"/>
        <v>25</v>
      </c>
      <c r="Q199" s="8">
        <f t="shared" si="40"/>
        <v>0</v>
      </c>
      <c r="R199" s="8">
        <f t="shared" si="41"/>
        <v>25</v>
      </c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>
        <v>1</v>
      </c>
      <c r="AJ199" s="8"/>
      <c r="AK199" s="8"/>
      <c r="AL199" s="8"/>
      <c r="AM199" s="8"/>
      <c r="AN199" s="8">
        <v>9</v>
      </c>
      <c r="AO199" s="8"/>
      <c r="AP199" s="8"/>
      <c r="AQ199" s="8"/>
      <c r="AR199" s="8"/>
      <c r="AS199" s="8"/>
      <c r="AT199" s="8"/>
      <c r="AU199" s="8"/>
      <c r="AV199" s="8"/>
      <c r="AW199" s="8">
        <v>11</v>
      </c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>
        <v>3</v>
      </c>
      <c r="BI199" s="8"/>
      <c r="BJ199" s="8"/>
      <c r="BK199" s="8"/>
      <c r="BL199" s="8"/>
      <c r="BM199" s="8"/>
      <c r="BN199" s="8"/>
      <c r="BO199" s="8">
        <v>1</v>
      </c>
      <c r="BP199" s="8"/>
      <c r="BQ199" s="8"/>
      <c r="BR199" s="8"/>
      <c r="BS199" s="8"/>
      <c r="BT199" s="8"/>
      <c r="BU199" s="8"/>
      <c r="BV199" s="8"/>
      <c r="BW199" s="8"/>
      <c r="BX199" s="8"/>
    </row>
    <row r="200" spans="1:76" ht="16.5" customHeight="1" x14ac:dyDescent="0.3">
      <c r="A200" t="s">
        <v>573</v>
      </c>
      <c r="B200" t="s">
        <v>656</v>
      </c>
      <c r="C200" t="s">
        <v>693</v>
      </c>
      <c r="D200" t="s">
        <v>720</v>
      </c>
      <c r="E200" t="s">
        <v>671</v>
      </c>
      <c r="F200" t="s">
        <v>671</v>
      </c>
      <c r="G200" s="5">
        <v>1495148</v>
      </c>
      <c r="H200" s="7" t="s">
        <v>289</v>
      </c>
      <c r="I200" s="5" t="s">
        <v>253</v>
      </c>
      <c r="J200" s="5">
        <v>2</v>
      </c>
      <c r="K200" s="5" t="s">
        <v>102</v>
      </c>
      <c r="L200" s="5" t="s">
        <v>109</v>
      </c>
      <c r="M200" s="5" t="s">
        <v>94</v>
      </c>
      <c r="N200" s="5" t="s">
        <v>285</v>
      </c>
      <c r="O200" s="4"/>
      <c r="P200" s="24">
        <f t="shared" si="39"/>
        <v>24</v>
      </c>
      <c r="Q200" s="8">
        <f t="shared" si="40"/>
        <v>0</v>
      </c>
      <c r="R200" s="8">
        <f t="shared" si="41"/>
        <v>24</v>
      </c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>
        <v>1</v>
      </c>
      <c r="AJ200" s="8"/>
      <c r="AK200" s="8"/>
      <c r="AL200" s="8"/>
      <c r="AM200" s="8"/>
      <c r="AN200" s="8">
        <v>9</v>
      </c>
      <c r="AO200" s="8"/>
      <c r="AP200" s="8"/>
      <c r="AQ200" s="8"/>
      <c r="AR200" s="8"/>
      <c r="AS200" s="8"/>
      <c r="AT200" s="8"/>
      <c r="AU200" s="8"/>
      <c r="AV200" s="8"/>
      <c r="AW200" s="8">
        <v>10</v>
      </c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>
        <v>3</v>
      </c>
      <c r="BI200" s="8"/>
      <c r="BJ200" s="8"/>
      <c r="BK200" s="8"/>
      <c r="BL200" s="8"/>
      <c r="BM200" s="8"/>
      <c r="BN200" s="8"/>
      <c r="BO200" s="8">
        <v>1</v>
      </c>
      <c r="BP200" s="8"/>
      <c r="BQ200" s="8"/>
      <c r="BR200" s="8"/>
      <c r="BS200" s="8"/>
      <c r="BT200" s="8"/>
      <c r="BU200" s="8"/>
      <c r="BV200" s="8"/>
      <c r="BW200" s="8"/>
      <c r="BX200" s="8"/>
    </row>
    <row r="201" spans="1:76" ht="16.5" customHeight="1" x14ac:dyDescent="0.3">
      <c r="A201" t="s">
        <v>573</v>
      </c>
      <c r="B201" t="s">
        <v>656</v>
      </c>
      <c r="C201" t="s">
        <v>693</v>
      </c>
      <c r="D201" t="s">
        <v>720</v>
      </c>
      <c r="E201" t="s">
        <v>679</v>
      </c>
      <c r="F201" t="s">
        <v>679</v>
      </c>
      <c r="G201" s="5">
        <v>1495182</v>
      </c>
      <c r="H201" s="7" t="s">
        <v>291</v>
      </c>
      <c r="I201" s="5" t="s">
        <v>253</v>
      </c>
      <c r="J201" s="5">
        <v>2</v>
      </c>
      <c r="K201" s="5" t="s">
        <v>102</v>
      </c>
      <c r="L201" s="5" t="s">
        <v>109</v>
      </c>
      <c r="M201" s="5" t="s">
        <v>94</v>
      </c>
      <c r="N201" s="5" t="s">
        <v>285</v>
      </c>
      <c r="O201" s="4"/>
      <c r="P201" s="24">
        <f t="shared" si="39"/>
        <v>11</v>
      </c>
      <c r="Q201" s="8">
        <f t="shared" si="40"/>
        <v>0</v>
      </c>
      <c r="R201" s="8">
        <f t="shared" si="41"/>
        <v>11</v>
      </c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>
        <v>1</v>
      </c>
      <c r="AJ201" s="8"/>
      <c r="AK201" s="8"/>
      <c r="AL201" s="8"/>
      <c r="AM201" s="8"/>
      <c r="AN201" s="8">
        <v>4</v>
      </c>
      <c r="AO201" s="8"/>
      <c r="AP201" s="8"/>
      <c r="AQ201" s="8"/>
      <c r="AR201" s="8"/>
      <c r="AS201" s="8"/>
      <c r="AT201" s="8"/>
      <c r="AU201" s="8"/>
      <c r="AV201" s="8"/>
      <c r="AW201" s="8">
        <v>5</v>
      </c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>
        <v>1</v>
      </c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</row>
    <row r="202" spans="1:76" ht="16.5" customHeight="1" x14ac:dyDescent="0.3">
      <c r="A202" t="s">
        <v>573</v>
      </c>
      <c r="B202" t="s">
        <v>656</v>
      </c>
      <c r="C202" t="s">
        <v>693</v>
      </c>
      <c r="D202" t="s">
        <v>720</v>
      </c>
      <c r="E202" t="s">
        <v>675</v>
      </c>
      <c r="F202" t="s">
        <v>675</v>
      </c>
      <c r="G202" s="5">
        <v>1495213</v>
      </c>
      <c r="H202" s="7" t="s">
        <v>297</v>
      </c>
      <c r="I202" s="5" t="s">
        <v>253</v>
      </c>
      <c r="J202" s="5">
        <v>2</v>
      </c>
      <c r="K202" s="5" t="s">
        <v>102</v>
      </c>
      <c r="L202" s="5" t="s">
        <v>109</v>
      </c>
      <c r="M202" s="5" t="s">
        <v>94</v>
      </c>
      <c r="N202" s="5" t="s">
        <v>285</v>
      </c>
      <c r="O202" s="4"/>
      <c r="P202" s="24">
        <f t="shared" si="39"/>
        <v>6</v>
      </c>
      <c r="Q202" s="8">
        <f t="shared" si="40"/>
        <v>0</v>
      </c>
      <c r="R202" s="8">
        <f t="shared" si="41"/>
        <v>6</v>
      </c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>
        <v>1</v>
      </c>
      <c r="AL202" s="8"/>
      <c r="AM202" s="8"/>
      <c r="AN202" s="8"/>
      <c r="AO202" s="8"/>
      <c r="AP202" s="8"/>
      <c r="AQ202" s="8">
        <v>2</v>
      </c>
      <c r="AR202" s="8"/>
      <c r="AS202" s="8"/>
      <c r="AT202" s="8"/>
      <c r="AU202" s="8"/>
      <c r="AV202" s="8"/>
      <c r="AW202" s="8"/>
      <c r="AX202" s="8"/>
      <c r="AY202" s="8"/>
      <c r="AZ202" s="8">
        <v>3</v>
      </c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</row>
    <row r="203" spans="1:76" ht="16.5" customHeight="1" x14ac:dyDescent="0.3">
      <c r="A203" t="s">
        <v>573</v>
      </c>
      <c r="B203" t="s">
        <v>656</v>
      </c>
      <c r="C203" t="s">
        <v>693</v>
      </c>
      <c r="D203" t="s">
        <v>720</v>
      </c>
      <c r="E203" t="s">
        <v>676</v>
      </c>
      <c r="F203" t="s">
        <v>676</v>
      </c>
      <c r="G203" s="5">
        <v>1495237</v>
      </c>
      <c r="H203" s="7" t="s">
        <v>292</v>
      </c>
      <c r="I203" s="5" t="s">
        <v>253</v>
      </c>
      <c r="J203" s="5">
        <v>2</v>
      </c>
      <c r="K203" s="5" t="s">
        <v>102</v>
      </c>
      <c r="L203" s="5" t="s">
        <v>109</v>
      </c>
      <c r="M203" s="5" t="s">
        <v>94</v>
      </c>
      <c r="N203" s="5" t="s">
        <v>285</v>
      </c>
      <c r="O203" s="4"/>
      <c r="P203" s="24">
        <f t="shared" si="39"/>
        <v>21</v>
      </c>
      <c r="Q203" s="8">
        <f t="shared" si="40"/>
        <v>0</v>
      </c>
      <c r="R203" s="8">
        <f t="shared" si="41"/>
        <v>21</v>
      </c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>
        <v>1</v>
      </c>
      <c r="AK203" s="8"/>
      <c r="AL203" s="8"/>
      <c r="AM203" s="8"/>
      <c r="AN203" s="8"/>
      <c r="AO203" s="8"/>
      <c r="AP203" s="8"/>
      <c r="AQ203" s="8">
        <v>7</v>
      </c>
      <c r="AR203" s="8"/>
      <c r="AS203" s="8"/>
      <c r="AT203" s="8"/>
      <c r="AU203" s="8">
        <v>2</v>
      </c>
      <c r="AV203" s="8">
        <v>1</v>
      </c>
      <c r="AW203" s="8"/>
      <c r="AX203" s="8"/>
      <c r="AY203" s="8"/>
      <c r="AZ203" s="8">
        <v>6</v>
      </c>
      <c r="BA203" s="8"/>
      <c r="BB203" s="8"/>
      <c r="BC203" s="8"/>
      <c r="BD203" s="8">
        <v>3</v>
      </c>
      <c r="BE203" s="8"/>
      <c r="BF203" s="8"/>
      <c r="BG203" s="8"/>
      <c r="BH203" s="8">
        <v>1</v>
      </c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</row>
    <row r="204" spans="1:76" ht="16.5" customHeight="1" x14ac:dyDescent="0.3">
      <c r="A204" t="s">
        <v>573</v>
      </c>
      <c r="B204" t="s">
        <v>656</v>
      </c>
      <c r="C204" t="s">
        <v>693</v>
      </c>
      <c r="D204" t="s">
        <v>720</v>
      </c>
      <c r="E204" t="s">
        <v>653</v>
      </c>
      <c r="F204" t="s">
        <v>653</v>
      </c>
      <c r="G204" s="5">
        <v>1495259</v>
      </c>
      <c r="H204" s="7" t="s">
        <v>327</v>
      </c>
      <c r="I204" s="5" t="s">
        <v>253</v>
      </c>
      <c r="J204" s="5">
        <v>2</v>
      </c>
      <c r="K204" s="5" t="s">
        <v>102</v>
      </c>
      <c r="L204" s="5" t="s">
        <v>109</v>
      </c>
      <c r="M204" s="5" t="s">
        <v>94</v>
      </c>
      <c r="N204" s="5" t="s">
        <v>285</v>
      </c>
      <c r="O204" s="4"/>
      <c r="P204" s="24">
        <f t="shared" si="39"/>
        <v>9</v>
      </c>
      <c r="Q204" s="8">
        <f t="shared" si="40"/>
        <v>0</v>
      </c>
      <c r="R204" s="8">
        <f t="shared" si="41"/>
        <v>9</v>
      </c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>
        <v>1</v>
      </c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>
        <v>4</v>
      </c>
      <c r="AV204" s="8"/>
      <c r="AW204" s="8"/>
      <c r="AX204" s="8"/>
      <c r="AY204" s="8"/>
      <c r="AZ204" s="8"/>
      <c r="BA204" s="8"/>
      <c r="BB204" s="8"/>
      <c r="BC204" s="8"/>
      <c r="BD204" s="8">
        <v>4</v>
      </c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</row>
    <row r="205" spans="1:76" ht="16.5" customHeight="1" x14ac:dyDescent="0.3">
      <c r="G205" s="10">
        <v>1494419</v>
      </c>
      <c r="H205" s="11" t="s">
        <v>352</v>
      </c>
      <c r="I205" s="10" t="s">
        <v>253</v>
      </c>
      <c r="J205" s="10">
        <v>1</v>
      </c>
      <c r="K205" s="10" t="s">
        <v>254</v>
      </c>
      <c r="L205" s="10" t="s">
        <v>255</v>
      </c>
      <c r="M205" s="10" t="s">
        <v>94</v>
      </c>
      <c r="N205" s="10" t="s">
        <v>116</v>
      </c>
      <c r="O205" s="9"/>
      <c r="P205" s="21"/>
      <c r="Q205" s="12"/>
      <c r="R205" s="21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</row>
    <row r="206" spans="1:76" ht="16.5" customHeight="1" x14ac:dyDescent="0.3">
      <c r="A206" t="s">
        <v>724</v>
      </c>
      <c r="B206" t="s">
        <v>656</v>
      </c>
      <c r="C206" t="s">
        <v>725</v>
      </c>
      <c r="D206" t="s">
        <v>725</v>
      </c>
      <c r="E206" t="s">
        <v>725</v>
      </c>
      <c r="F206" t="s">
        <v>725</v>
      </c>
      <c r="G206" s="5">
        <v>1494419</v>
      </c>
      <c r="H206" s="38" t="s">
        <v>353</v>
      </c>
      <c r="I206" s="5" t="s">
        <v>253</v>
      </c>
      <c r="J206" s="5">
        <v>1</v>
      </c>
      <c r="K206" s="5" t="s">
        <v>254</v>
      </c>
      <c r="L206" s="5" t="s">
        <v>255</v>
      </c>
      <c r="M206" s="5" t="s">
        <v>94</v>
      </c>
      <c r="N206" s="5" t="s">
        <v>116</v>
      </c>
      <c r="O206" s="4"/>
      <c r="P206" s="24">
        <f>SUM(Q206,R206)</f>
        <v>1</v>
      </c>
      <c r="Q206" s="8">
        <f>S206</f>
        <v>0</v>
      </c>
      <c r="R206" s="8">
        <f>SUM(T206:BX206)</f>
        <v>1</v>
      </c>
      <c r="S206" s="8"/>
      <c r="T206" s="8"/>
      <c r="U206" s="8"/>
      <c r="V206" s="8">
        <v>1</v>
      </c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</row>
    <row r="207" spans="1:76" ht="16.5" customHeight="1" x14ac:dyDescent="0.3">
      <c r="G207" s="14">
        <v>1494420</v>
      </c>
      <c r="H207" s="15" t="s">
        <v>354</v>
      </c>
      <c r="I207" s="14" t="s">
        <v>253</v>
      </c>
      <c r="J207" s="14">
        <v>1</v>
      </c>
      <c r="K207" s="14" t="s">
        <v>102</v>
      </c>
      <c r="L207" s="14" t="s">
        <v>109</v>
      </c>
      <c r="M207" s="14" t="s">
        <v>94</v>
      </c>
      <c r="N207" s="14" t="s">
        <v>258</v>
      </c>
      <c r="O207" s="13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</row>
    <row r="208" spans="1:76" ht="16.5" customHeight="1" x14ac:dyDescent="0.3">
      <c r="A208" t="s">
        <v>724</v>
      </c>
      <c r="B208" t="s">
        <v>656</v>
      </c>
      <c r="C208" t="s">
        <v>725</v>
      </c>
      <c r="D208" t="s">
        <v>725</v>
      </c>
      <c r="E208" t="s">
        <v>726</v>
      </c>
      <c r="F208" t="s">
        <v>726</v>
      </c>
      <c r="G208" s="5">
        <v>1494420</v>
      </c>
      <c r="H208" s="7" t="s">
        <v>355</v>
      </c>
      <c r="I208" s="5" t="s">
        <v>253</v>
      </c>
      <c r="J208" s="5">
        <v>1</v>
      </c>
      <c r="K208" s="5" t="s">
        <v>102</v>
      </c>
      <c r="L208" s="5" t="s">
        <v>109</v>
      </c>
      <c r="M208" s="5" t="s">
        <v>94</v>
      </c>
      <c r="N208" s="5" t="s">
        <v>258</v>
      </c>
      <c r="O208" s="4"/>
      <c r="P208" s="24">
        <f t="shared" ref="P208:P224" si="42">SUM(Q208,R208)</f>
        <v>1</v>
      </c>
      <c r="Q208" s="8">
        <f t="shared" ref="Q208:Q224" si="43">S208</f>
        <v>0</v>
      </c>
      <c r="R208" s="8">
        <f t="shared" ref="R208:R224" si="44">SUM(T208:BX208)</f>
        <v>1</v>
      </c>
      <c r="S208" s="8"/>
      <c r="T208" s="8"/>
      <c r="U208" s="8"/>
      <c r="V208" s="8"/>
      <c r="W208" s="8"/>
      <c r="X208" s="8"/>
      <c r="Y208" s="8"/>
      <c r="Z208" s="8"/>
      <c r="AA208" s="8"/>
      <c r="AB208" s="8">
        <v>1</v>
      </c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</row>
    <row r="209" spans="1:76" ht="16.5" customHeight="1" x14ac:dyDescent="0.3">
      <c r="A209" t="s">
        <v>724</v>
      </c>
      <c r="B209" t="s">
        <v>656</v>
      </c>
      <c r="C209" t="s">
        <v>725</v>
      </c>
      <c r="D209" t="s">
        <v>725</v>
      </c>
      <c r="E209" t="s">
        <v>726</v>
      </c>
      <c r="F209" t="s">
        <v>659</v>
      </c>
      <c r="G209" s="5">
        <v>1492877</v>
      </c>
      <c r="H209" s="7" t="s">
        <v>260</v>
      </c>
      <c r="I209" s="5" t="s">
        <v>253</v>
      </c>
      <c r="J209" s="5">
        <v>1</v>
      </c>
      <c r="K209" s="5" t="s">
        <v>102</v>
      </c>
      <c r="L209" s="5" t="s">
        <v>109</v>
      </c>
      <c r="M209" s="5" t="s">
        <v>94</v>
      </c>
      <c r="N209" s="5" t="s">
        <v>261</v>
      </c>
      <c r="O209" s="4"/>
      <c r="P209" s="24">
        <f t="shared" si="42"/>
        <v>24</v>
      </c>
      <c r="Q209" s="8">
        <f t="shared" si="43"/>
        <v>0</v>
      </c>
      <c r="R209" s="8">
        <f t="shared" si="44"/>
        <v>24</v>
      </c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>
        <v>1</v>
      </c>
      <c r="AJ209" s="8"/>
      <c r="AK209" s="8"/>
      <c r="AL209" s="8"/>
      <c r="AM209" s="8"/>
      <c r="AN209" s="8"/>
      <c r="AO209" s="8">
        <v>2</v>
      </c>
      <c r="AP209" s="8"/>
      <c r="AQ209" s="8"/>
      <c r="AR209" s="8"/>
      <c r="AS209" s="8"/>
      <c r="AT209" s="8"/>
      <c r="AU209" s="8"/>
      <c r="AV209" s="8">
        <v>1</v>
      </c>
      <c r="AW209" s="8"/>
      <c r="AX209" s="8">
        <v>3</v>
      </c>
      <c r="AY209" s="8"/>
      <c r="AZ209" s="8">
        <v>1</v>
      </c>
      <c r="BA209" s="8"/>
      <c r="BB209" s="8"/>
      <c r="BC209" s="8"/>
      <c r="BD209" s="8"/>
      <c r="BE209" s="8"/>
      <c r="BF209" s="8"/>
      <c r="BG209" s="8">
        <v>1</v>
      </c>
      <c r="BH209" s="8"/>
      <c r="BI209" s="8">
        <v>5</v>
      </c>
      <c r="BJ209" s="8"/>
      <c r="BK209" s="8">
        <v>2</v>
      </c>
      <c r="BL209" s="8"/>
      <c r="BM209" s="8">
        <v>1</v>
      </c>
      <c r="BN209" s="8"/>
      <c r="BO209" s="8"/>
      <c r="BP209" s="8">
        <v>4</v>
      </c>
      <c r="BQ209" s="8"/>
      <c r="BR209" s="8">
        <v>3</v>
      </c>
      <c r="BS209" s="8"/>
      <c r="BT209" s="8"/>
      <c r="BU209" s="8"/>
      <c r="BV209" s="8"/>
      <c r="BW209" s="8"/>
      <c r="BX209" s="8"/>
    </row>
    <row r="210" spans="1:76" ht="16.5" customHeight="1" x14ac:dyDescent="0.3">
      <c r="A210" t="s">
        <v>724</v>
      </c>
      <c r="B210" t="s">
        <v>656</v>
      </c>
      <c r="C210" t="s">
        <v>725</v>
      </c>
      <c r="D210" t="s">
        <v>725</v>
      </c>
      <c r="E210" t="s">
        <v>726</v>
      </c>
      <c r="F210" t="s">
        <v>660</v>
      </c>
      <c r="G210" s="5">
        <v>1494781</v>
      </c>
      <c r="H210" s="7" t="s">
        <v>262</v>
      </c>
      <c r="I210" s="5" t="s">
        <v>253</v>
      </c>
      <c r="J210" s="5">
        <v>1</v>
      </c>
      <c r="K210" s="5" t="s">
        <v>102</v>
      </c>
      <c r="L210" s="5" t="s">
        <v>109</v>
      </c>
      <c r="M210" s="5" t="s">
        <v>94</v>
      </c>
      <c r="N210" s="5" t="s">
        <v>261</v>
      </c>
      <c r="O210" s="4"/>
      <c r="P210" s="24">
        <f t="shared" si="42"/>
        <v>15</v>
      </c>
      <c r="Q210" s="8">
        <f t="shared" si="43"/>
        <v>0</v>
      </c>
      <c r="R210" s="8">
        <f t="shared" si="44"/>
        <v>15</v>
      </c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>
        <v>1</v>
      </c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>
        <v>3</v>
      </c>
      <c r="AY210" s="8"/>
      <c r="AZ210" s="8"/>
      <c r="BA210" s="8"/>
      <c r="BB210" s="8"/>
      <c r="BC210" s="8"/>
      <c r="BD210" s="8"/>
      <c r="BE210" s="8"/>
      <c r="BF210" s="8"/>
      <c r="BG210" s="8">
        <v>1</v>
      </c>
      <c r="BH210" s="8"/>
      <c r="BI210" s="8">
        <v>3</v>
      </c>
      <c r="BJ210" s="8"/>
      <c r="BK210" s="8">
        <v>1</v>
      </c>
      <c r="BL210" s="8"/>
      <c r="BM210" s="8"/>
      <c r="BN210" s="8"/>
      <c r="BO210" s="8"/>
      <c r="BP210" s="8">
        <v>4</v>
      </c>
      <c r="BQ210" s="8"/>
      <c r="BR210" s="8">
        <v>2</v>
      </c>
      <c r="BS210" s="8"/>
      <c r="BT210" s="8"/>
      <c r="BU210" s="8"/>
      <c r="BV210" s="8"/>
      <c r="BW210" s="8"/>
      <c r="BX210" s="8"/>
    </row>
    <row r="211" spans="1:76" ht="16.5" customHeight="1" x14ac:dyDescent="0.3">
      <c r="A211" t="s">
        <v>724</v>
      </c>
      <c r="B211" t="s">
        <v>656</v>
      </c>
      <c r="C211" t="s">
        <v>725</v>
      </c>
      <c r="D211" t="s">
        <v>725</v>
      </c>
      <c r="E211" t="s">
        <v>726</v>
      </c>
      <c r="F211" t="s">
        <v>661</v>
      </c>
      <c r="G211" s="5">
        <v>1492990</v>
      </c>
      <c r="H211" s="7" t="s">
        <v>263</v>
      </c>
      <c r="I211" s="5" t="s">
        <v>253</v>
      </c>
      <c r="J211" s="5">
        <v>1</v>
      </c>
      <c r="K211" s="5" t="s">
        <v>102</v>
      </c>
      <c r="L211" s="5" t="s">
        <v>109</v>
      </c>
      <c r="M211" s="5" t="s">
        <v>94</v>
      </c>
      <c r="N211" s="5" t="s">
        <v>261</v>
      </c>
      <c r="O211" s="4"/>
      <c r="P211" s="24">
        <f t="shared" si="42"/>
        <v>23</v>
      </c>
      <c r="Q211" s="8">
        <f t="shared" si="43"/>
        <v>0</v>
      </c>
      <c r="R211" s="8">
        <f t="shared" si="44"/>
        <v>23</v>
      </c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>
        <v>1</v>
      </c>
      <c r="AJ211" s="8"/>
      <c r="AK211" s="8"/>
      <c r="AL211" s="8"/>
      <c r="AM211" s="8"/>
      <c r="AN211" s="8"/>
      <c r="AO211" s="8">
        <v>2</v>
      </c>
      <c r="AP211" s="8"/>
      <c r="AQ211" s="8"/>
      <c r="AR211" s="8"/>
      <c r="AS211" s="8"/>
      <c r="AT211" s="8"/>
      <c r="AU211" s="8"/>
      <c r="AV211" s="8"/>
      <c r="AW211" s="8"/>
      <c r="AX211" s="8">
        <v>6</v>
      </c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>
        <v>6</v>
      </c>
      <c r="BJ211" s="8"/>
      <c r="BK211" s="8">
        <v>1</v>
      </c>
      <c r="BL211" s="8"/>
      <c r="BM211" s="8"/>
      <c r="BN211" s="8"/>
      <c r="BO211" s="8"/>
      <c r="BP211" s="8">
        <v>6</v>
      </c>
      <c r="BQ211" s="8"/>
      <c r="BR211" s="8">
        <v>1</v>
      </c>
      <c r="BS211" s="8"/>
      <c r="BT211" s="8"/>
      <c r="BU211" s="8"/>
      <c r="BV211" s="8"/>
      <c r="BW211" s="8"/>
      <c r="BX211" s="8"/>
    </row>
    <row r="212" spans="1:76" ht="16.5" customHeight="1" x14ac:dyDescent="0.3">
      <c r="A212" t="s">
        <v>724</v>
      </c>
      <c r="B212" t="s">
        <v>656</v>
      </c>
      <c r="C212" t="s">
        <v>725</v>
      </c>
      <c r="D212" t="s">
        <v>725</v>
      </c>
      <c r="E212" t="s">
        <v>726</v>
      </c>
      <c r="F212" t="s">
        <v>662</v>
      </c>
      <c r="G212" s="5">
        <v>1494429</v>
      </c>
      <c r="H212" s="7" t="s">
        <v>264</v>
      </c>
      <c r="I212" s="5" t="s">
        <v>253</v>
      </c>
      <c r="J212" s="5">
        <v>1</v>
      </c>
      <c r="K212" s="5" t="s">
        <v>102</v>
      </c>
      <c r="L212" s="5" t="s">
        <v>109</v>
      </c>
      <c r="M212" s="5" t="s">
        <v>94</v>
      </c>
      <c r="N212" s="5" t="s">
        <v>261</v>
      </c>
      <c r="O212" s="4"/>
      <c r="P212" s="24">
        <f t="shared" si="42"/>
        <v>13</v>
      </c>
      <c r="Q212" s="8">
        <f t="shared" si="43"/>
        <v>0</v>
      </c>
      <c r="R212" s="8">
        <f t="shared" si="44"/>
        <v>13</v>
      </c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>
        <v>1</v>
      </c>
      <c r="AJ212" s="8"/>
      <c r="AK212" s="8"/>
      <c r="AL212" s="8"/>
      <c r="AM212" s="8"/>
      <c r="AN212" s="8"/>
      <c r="AO212" s="8">
        <v>1</v>
      </c>
      <c r="AP212" s="8"/>
      <c r="AQ212" s="8"/>
      <c r="AR212" s="8"/>
      <c r="AS212" s="8"/>
      <c r="AT212" s="8"/>
      <c r="AU212" s="8"/>
      <c r="AV212" s="8">
        <v>1</v>
      </c>
      <c r="AW212" s="8"/>
      <c r="AX212" s="8">
        <v>2</v>
      </c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>
        <v>3</v>
      </c>
      <c r="BJ212" s="8"/>
      <c r="BK212" s="8"/>
      <c r="BL212" s="8"/>
      <c r="BM212" s="8">
        <v>1</v>
      </c>
      <c r="BN212" s="8"/>
      <c r="BO212" s="8"/>
      <c r="BP212" s="8">
        <v>4</v>
      </c>
      <c r="BQ212" s="8"/>
      <c r="BR212" s="8"/>
      <c r="BS212" s="8"/>
      <c r="BT212" s="8"/>
      <c r="BU212" s="8"/>
      <c r="BV212" s="8"/>
      <c r="BW212" s="8"/>
      <c r="BX212" s="8"/>
    </row>
    <row r="213" spans="1:76" ht="16.5" customHeight="1" x14ac:dyDescent="0.3">
      <c r="A213" t="s">
        <v>724</v>
      </c>
      <c r="B213" t="s">
        <v>656</v>
      </c>
      <c r="C213" t="s">
        <v>725</v>
      </c>
      <c r="D213" t="s">
        <v>725</v>
      </c>
      <c r="E213" t="s">
        <v>726</v>
      </c>
      <c r="F213" t="s">
        <v>663</v>
      </c>
      <c r="G213" s="5">
        <v>1494430</v>
      </c>
      <c r="H213" s="7" t="s">
        <v>265</v>
      </c>
      <c r="I213" s="5" t="s">
        <v>253</v>
      </c>
      <c r="J213" s="5">
        <v>1</v>
      </c>
      <c r="K213" s="5" t="s">
        <v>102</v>
      </c>
      <c r="L213" s="5" t="s">
        <v>109</v>
      </c>
      <c r="M213" s="5" t="s">
        <v>94</v>
      </c>
      <c r="N213" s="5" t="s">
        <v>261</v>
      </c>
      <c r="O213" s="4"/>
      <c r="P213" s="24">
        <f t="shared" si="42"/>
        <v>9</v>
      </c>
      <c r="Q213" s="8">
        <f t="shared" si="43"/>
        <v>0</v>
      </c>
      <c r="R213" s="8">
        <f t="shared" si="44"/>
        <v>9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>
        <v>1</v>
      </c>
      <c r="AJ213" s="8"/>
      <c r="AK213" s="8"/>
      <c r="AL213" s="8"/>
      <c r="AM213" s="8">
        <v>1</v>
      </c>
      <c r="AN213" s="8"/>
      <c r="AO213" s="8">
        <v>1</v>
      </c>
      <c r="AP213" s="8"/>
      <c r="AQ213" s="8"/>
      <c r="AR213" s="8"/>
      <c r="AS213" s="8"/>
      <c r="AT213" s="8"/>
      <c r="AU213" s="8"/>
      <c r="AV213" s="8">
        <v>1</v>
      </c>
      <c r="AW213" s="8"/>
      <c r="AX213" s="8">
        <v>1</v>
      </c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>
        <v>1</v>
      </c>
      <c r="BJ213" s="8"/>
      <c r="BK213" s="8">
        <v>1</v>
      </c>
      <c r="BL213" s="8"/>
      <c r="BM213" s="8"/>
      <c r="BN213" s="8"/>
      <c r="BO213" s="8"/>
      <c r="BP213" s="8">
        <v>1</v>
      </c>
      <c r="BQ213" s="8"/>
      <c r="BR213" s="8">
        <v>1</v>
      </c>
      <c r="BS213" s="8"/>
      <c r="BT213" s="8"/>
      <c r="BU213" s="8"/>
      <c r="BV213" s="8"/>
      <c r="BW213" s="8"/>
      <c r="BX213" s="8"/>
    </row>
    <row r="214" spans="1:76" ht="16.5" customHeight="1" x14ac:dyDescent="0.3">
      <c r="A214" t="s">
        <v>724</v>
      </c>
      <c r="B214" t="s">
        <v>656</v>
      </c>
      <c r="C214" t="s">
        <v>725</v>
      </c>
      <c r="D214" t="s">
        <v>725</v>
      </c>
      <c r="E214" t="s">
        <v>665</v>
      </c>
      <c r="F214" t="s">
        <v>727</v>
      </c>
      <c r="G214" s="5">
        <v>1494776</v>
      </c>
      <c r="H214" s="7" t="s">
        <v>267</v>
      </c>
      <c r="I214" s="5" t="s">
        <v>253</v>
      </c>
      <c r="J214" s="5">
        <v>1</v>
      </c>
      <c r="K214" s="5" t="s">
        <v>102</v>
      </c>
      <c r="L214" s="5" t="s">
        <v>109</v>
      </c>
      <c r="M214" s="5" t="s">
        <v>94</v>
      </c>
      <c r="N214" s="5" t="s">
        <v>268</v>
      </c>
      <c r="O214" s="4"/>
      <c r="P214" s="24">
        <f t="shared" si="42"/>
        <v>14</v>
      </c>
      <c r="Q214" s="8">
        <f t="shared" si="43"/>
        <v>0</v>
      </c>
      <c r="R214" s="8">
        <f t="shared" si="44"/>
        <v>14</v>
      </c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>
        <v>1</v>
      </c>
      <c r="AE214" s="8"/>
      <c r="AF214" s="8"/>
      <c r="AG214" s="8"/>
      <c r="AH214" s="8"/>
      <c r="AI214" s="8"/>
      <c r="AJ214" s="8"/>
      <c r="AK214" s="8"/>
      <c r="AL214" s="8"/>
      <c r="AM214" s="8"/>
      <c r="AN214" s="8">
        <v>1</v>
      </c>
      <c r="AO214" s="8"/>
      <c r="AP214" s="8"/>
      <c r="AQ214" s="8"/>
      <c r="AR214" s="8"/>
      <c r="AS214" s="8"/>
      <c r="AT214" s="8"/>
      <c r="AU214" s="8"/>
      <c r="AV214" s="8">
        <v>1</v>
      </c>
      <c r="AW214" s="8"/>
      <c r="AX214" s="8">
        <v>1</v>
      </c>
      <c r="AY214" s="8"/>
      <c r="AZ214" s="8"/>
      <c r="BA214" s="8"/>
      <c r="BB214" s="8"/>
      <c r="BC214" s="8"/>
      <c r="BD214" s="8"/>
      <c r="BE214" s="8"/>
      <c r="BF214" s="8"/>
      <c r="BG214" s="8"/>
      <c r="BH214" s="8">
        <v>3</v>
      </c>
      <c r="BI214" s="8"/>
      <c r="BJ214" s="8"/>
      <c r="BK214" s="8">
        <v>1</v>
      </c>
      <c r="BL214" s="8"/>
      <c r="BM214" s="8"/>
      <c r="BN214" s="8"/>
      <c r="BO214" s="8">
        <v>1</v>
      </c>
      <c r="BP214" s="8">
        <v>4</v>
      </c>
      <c r="BQ214" s="8"/>
      <c r="BR214" s="8"/>
      <c r="BS214" s="8">
        <v>1</v>
      </c>
      <c r="BT214" s="8"/>
      <c r="BU214" s="8"/>
      <c r="BV214" s="8"/>
      <c r="BW214" s="8"/>
      <c r="BX214" s="8"/>
    </row>
    <row r="215" spans="1:76" ht="16.5" customHeight="1" x14ac:dyDescent="0.3">
      <c r="A215" t="s">
        <v>724</v>
      </c>
      <c r="B215" t="s">
        <v>656</v>
      </c>
      <c r="C215" t="s">
        <v>725</v>
      </c>
      <c r="D215" t="s">
        <v>725</v>
      </c>
      <c r="E215" t="s">
        <v>728</v>
      </c>
      <c r="F215" t="s">
        <v>728</v>
      </c>
      <c r="G215" s="5">
        <v>1494777</v>
      </c>
      <c r="H215" s="7" t="s">
        <v>269</v>
      </c>
      <c r="I215" s="5" t="s">
        <v>253</v>
      </c>
      <c r="J215" s="5">
        <v>1</v>
      </c>
      <c r="K215" s="5" t="s">
        <v>102</v>
      </c>
      <c r="L215" s="5" t="s">
        <v>109</v>
      </c>
      <c r="M215" s="5" t="s">
        <v>94</v>
      </c>
      <c r="N215" s="5" t="s">
        <v>268</v>
      </c>
      <c r="O215" s="4"/>
      <c r="P215" s="24">
        <f t="shared" si="42"/>
        <v>21</v>
      </c>
      <c r="Q215" s="8">
        <f t="shared" si="43"/>
        <v>0</v>
      </c>
      <c r="R215" s="8">
        <f t="shared" si="44"/>
        <v>21</v>
      </c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>
        <v>1</v>
      </c>
      <c r="AH215" s="8"/>
      <c r="AI215" s="8"/>
      <c r="AJ215" s="8"/>
      <c r="AK215" s="8"/>
      <c r="AL215" s="8"/>
      <c r="AM215" s="8">
        <v>2</v>
      </c>
      <c r="AN215" s="8"/>
      <c r="AO215" s="8"/>
      <c r="AP215" s="8"/>
      <c r="AQ215" s="8"/>
      <c r="AR215" s="8"/>
      <c r="AS215" s="8"/>
      <c r="AT215" s="8"/>
      <c r="AU215" s="8"/>
      <c r="AV215" s="8">
        <v>1</v>
      </c>
      <c r="AW215" s="8"/>
      <c r="AX215" s="8">
        <v>2</v>
      </c>
      <c r="AY215" s="8"/>
      <c r="AZ215" s="8"/>
      <c r="BA215" s="8"/>
      <c r="BB215" s="8"/>
      <c r="BC215" s="8"/>
      <c r="BD215" s="8"/>
      <c r="BE215" s="8">
        <v>1</v>
      </c>
      <c r="BF215" s="8"/>
      <c r="BG215" s="8">
        <v>2</v>
      </c>
      <c r="BH215" s="8"/>
      <c r="BI215" s="8"/>
      <c r="BJ215" s="8">
        <v>1</v>
      </c>
      <c r="BK215" s="8">
        <v>1</v>
      </c>
      <c r="BL215" s="8"/>
      <c r="BM215" s="8"/>
      <c r="BN215" s="8"/>
      <c r="BO215" s="8"/>
      <c r="BP215" s="8">
        <v>6</v>
      </c>
      <c r="BQ215" s="8"/>
      <c r="BR215" s="8">
        <v>1</v>
      </c>
      <c r="BS215" s="8">
        <v>1</v>
      </c>
      <c r="BT215" s="8"/>
      <c r="BU215" s="8">
        <v>1</v>
      </c>
      <c r="BV215" s="8">
        <v>1</v>
      </c>
      <c r="BW215" s="8"/>
      <c r="BX215" s="8"/>
    </row>
    <row r="216" spans="1:76" ht="16.5" customHeight="1" x14ac:dyDescent="0.3">
      <c r="A216" t="s">
        <v>724</v>
      </c>
      <c r="B216" t="s">
        <v>656</v>
      </c>
      <c r="C216" t="s">
        <v>725</v>
      </c>
      <c r="D216" t="s">
        <v>725</v>
      </c>
      <c r="E216" t="s">
        <v>729</v>
      </c>
      <c r="F216" t="s">
        <v>729</v>
      </c>
      <c r="G216" s="5">
        <v>1494778</v>
      </c>
      <c r="H216" s="7" t="s">
        <v>270</v>
      </c>
      <c r="I216" s="5" t="s">
        <v>253</v>
      </c>
      <c r="J216" s="5">
        <v>1</v>
      </c>
      <c r="K216" s="5" t="s">
        <v>102</v>
      </c>
      <c r="L216" s="5" t="s">
        <v>109</v>
      </c>
      <c r="M216" s="5" t="s">
        <v>94</v>
      </c>
      <c r="N216" s="5" t="s">
        <v>268</v>
      </c>
      <c r="O216" s="4"/>
      <c r="P216" s="24">
        <f t="shared" si="42"/>
        <v>12</v>
      </c>
      <c r="Q216" s="8">
        <f t="shared" si="43"/>
        <v>0</v>
      </c>
      <c r="R216" s="8">
        <f t="shared" si="44"/>
        <v>12</v>
      </c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>
        <v>1</v>
      </c>
      <c r="AJ216" s="8"/>
      <c r="AK216" s="8"/>
      <c r="AL216" s="8"/>
      <c r="AM216" s="8">
        <v>1</v>
      </c>
      <c r="AN216" s="8"/>
      <c r="AO216" s="8">
        <v>1</v>
      </c>
      <c r="AP216" s="8"/>
      <c r="AQ216" s="8"/>
      <c r="AR216" s="8"/>
      <c r="AS216" s="8"/>
      <c r="AT216" s="8"/>
      <c r="AU216" s="8"/>
      <c r="AV216" s="8"/>
      <c r="AW216" s="8"/>
      <c r="AX216" s="8">
        <v>5</v>
      </c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>
        <v>1</v>
      </c>
      <c r="BJ216" s="8"/>
      <c r="BK216" s="8">
        <v>2</v>
      </c>
      <c r="BL216" s="8"/>
      <c r="BM216" s="8"/>
      <c r="BN216" s="8"/>
      <c r="BO216" s="8"/>
      <c r="BP216" s="8">
        <v>1</v>
      </c>
      <c r="BQ216" s="8"/>
      <c r="BR216" s="8"/>
      <c r="BS216" s="8"/>
      <c r="BT216" s="8"/>
      <c r="BU216" s="8"/>
      <c r="BV216" s="8"/>
      <c r="BW216" s="8"/>
      <c r="BX216" s="8"/>
    </row>
    <row r="217" spans="1:76" ht="16.5" customHeight="1" x14ac:dyDescent="0.3">
      <c r="A217" t="s">
        <v>724</v>
      </c>
      <c r="B217" t="s">
        <v>656</v>
      </c>
      <c r="C217" t="s">
        <v>725</v>
      </c>
      <c r="D217" t="s">
        <v>725</v>
      </c>
      <c r="E217" t="s">
        <v>730</v>
      </c>
      <c r="F217" t="s">
        <v>730</v>
      </c>
      <c r="G217" s="5">
        <v>1494896</v>
      </c>
      <c r="H217" s="7" t="s">
        <v>271</v>
      </c>
      <c r="I217" s="5" t="s">
        <v>253</v>
      </c>
      <c r="J217" s="5">
        <v>1</v>
      </c>
      <c r="K217" s="5" t="s">
        <v>102</v>
      </c>
      <c r="L217" s="5" t="s">
        <v>109</v>
      </c>
      <c r="M217" s="5" t="s">
        <v>94</v>
      </c>
      <c r="N217" s="5" t="s">
        <v>268</v>
      </c>
      <c r="O217" s="4"/>
      <c r="P217" s="24">
        <f t="shared" si="42"/>
        <v>14</v>
      </c>
      <c r="Q217" s="8">
        <f t="shared" si="43"/>
        <v>0</v>
      </c>
      <c r="R217" s="8">
        <f t="shared" si="44"/>
        <v>14</v>
      </c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>
        <v>1</v>
      </c>
      <c r="AE217" s="8"/>
      <c r="AF217" s="8"/>
      <c r="AG217" s="8"/>
      <c r="AH217" s="8"/>
      <c r="AI217" s="8"/>
      <c r="AJ217" s="8"/>
      <c r="AK217" s="8"/>
      <c r="AL217" s="8"/>
      <c r="AM217" s="8">
        <v>5</v>
      </c>
      <c r="AN217" s="8"/>
      <c r="AO217" s="8"/>
      <c r="AP217" s="8"/>
      <c r="AQ217" s="8"/>
      <c r="AR217" s="8"/>
      <c r="AS217" s="8"/>
      <c r="AT217" s="8"/>
      <c r="AU217" s="8"/>
      <c r="AV217" s="8">
        <v>6</v>
      </c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>
        <v>2</v>
      </c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</row>
    <row r="218" spans="1:76" ht="16.5" customHeight="1" x14ac:dyDescent="0.3">
      <c r="A218" t="s">
        <v>724</v>
      </c>
      <c r="B218" t="s">
        <v>656</v>
      </c>
      <c r="C218" t="s">
        <v>725</v>
      </c>
      <c r="D218" t="s">
        <v>725</v>
      </c>
      <c r="E218" t="s">
        <v>670</v>
      </c>
      <c r="F218" t="s">
        <v>670</v>
      </c>
      <c r="G218" s="5">
        <v>1494988</v>
      </c>
      <c r="H218" s="7" t="s">
        <v>273</v>
      </c>
      <c r="I218" s="5" t="s">
        <v>253</v>
      </c>
      <c r="J218" s="5">
        <v>1</v>
      </c>
      <c r="K218" s="5" t="s">
        <v>102</v>
      </c>
      <c r="L218" s="5" t="s">
        <v>109</v>
      </c>
      <c r="M218" s="5" t="s">
        <v>94</v>
      </c>
      <c r="N218" s="5" t="s">
        <v>268</v>
      </c>
      <c r="O218" s="4"/>
      <c r="P218" s="24">
        <f t="shared" si="42"/>
        <v>24</v>
      </c>
      <c r="Q218" s="8">
        <f t="shared" si="43"/>
        <v>0</v>
      </c>
      <c r="R218" s="8">
        <f t="shared" si="44"/>
        <v>24</v>
      </c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>
        <v>1</v>
      </c>
      <c r="AH218" s="8"/>
      <c r="AI218" s="8"/>
      <c r="AJ218" s="8"/>
      <c r="AK218" s="8"/>
      <c r="AL218" s="8"/>
      <c r="AM218" s="8">
        <v>10</v>
      </c>
      <c r="AN218" s="8"/>
      <c r="AO218" s="8"/>
      <c r="AP218" s="8"/>
      <c r="AQ218" s="8"/>
      <c r="AR218" s="8"/>
      <c r="AS218" s="8"/>
      <c r="AT218" s="8"/>
      <c r="AU218" s="8"/>
      <c r="AV218" s="8">
        <v>9</v>
      </c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>
        <v>3</v>
      </c>
      <c r="BH218" s="8"/>
      <c r="BI218" s="8"/>
      <c r="BJ218" s="8"/>
      <c r="BK218" s="8"/>
      <c r="BL218" s="8"/>
      <c r="BM218" s="8">
        <v>1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</row>
    <row r="219" spans="1:76" ht="16.5" customHeight="1" x14ac:dyDescent="0.3">
      <c r="A219" t="s">
        <v>724</v>
      </c>
      <c r="B219" t="s">
        <v>656</v>
      </c>
      <c r="C219" t="s">
        <v>725</v>
      </c>
      <c r="D219" t="s">
        <v>725</v>
      </c>
      <c r="E219" t="s">
        <v>731</v>
      </c>
      <c r="F219" t="s">
        <v>731</v>
      </c>
      <c r="G219" s="5">
        <v>1494992</v>
      </c>
      <c r="H219" s="7" t="s">
        <v>274</v>
      </c>
      <c r="I219" s="5" t="s">
        <v>253</v>
      </c>
      <c r="J219" s="5">
        <v>1</v>
      </c>
      <c r="K219" s="5" t="s">
        <v>102</v>
      </c>
      <c r="L219" s="5" t="s">
        <v>109</v>
      </c>
      <c r="M219" s="5" t="s">
        <v>94</v>
      </c>
      <c r="N219" s="5" t="s">
        <v>268</v>
      </c>
      <c r="O219" s="4"/>
      <c r="P219" s="24">
        <f t="shared" si="42"/>
        <v>23</v>
      </c>
      <c r="Q219" s="8">
        <f t="shared" si="43"/>
        <v>0</v>
      </c>
      <c r="R219" s="8">
        <f t="shared" si="44"/>
        <v>23</v>
      </c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>
        <v>1</v>
      </c>
      <c r="AH219" s="8"/>
      <c r="AI219" s="8"/>
      <c r="AJ219" s="8"/>
      <c r="AK219" s="8"/>
      <c r="AL219" s="8"/>
      <c r="AM219" s="8">
        <v>8</v>
      </c>
      <c r="AN219" s="8"/>
      <c r="AO219" s="8"/>
      <c r="AP219" s="8"/>
      <c r="AQ219" s="8"/>
      <c r="AR219" s="8"/>
      <c r="AS219" s="8"/>
      <c r="AT219" s="8"/>
      <c r="AU219" s="8"/>
      <c r="AV219" s="8">
        <v>10</v>
      </c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>
        <v>3</v>
      </c>
      <c r="BH219" s="8"/>
      <c r="BI219" s="8"/>
      <c r="BJ219" s="8"/>
      <c r="BK219" s="8"/>
      <c r="BL219" s="8"/>
      <c r="BM219" s="8">
        <v>1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</row>
    <row r="220" spans="1:76" ht="16.5" customHeight="1" x14ac:dyDescent="0.3">
      <c r="A220" t="s">
        <v>724</v>
      </c>
      <c r="B220" t="s">
        <v>656</v>
      </c>
      <c r="C220" t="s">
        <v>725</v>
      </c>
      <c r="D220" t="s">
        <v>725</v>
      </c>
      <c r="E220" t="s">
        <v>732</v>
      </c>
      <c r="F220" t="s">
        <v>732</v>
      </c>
      <c r="G220" s="5">
        <v>1494997</v>
      </c>
      <c r="H220" s="7" t="s">
        <v>276</v>
      </c>
      <c r="I220" s="5" t="s">
        <v>253</v>
      </c>
      <c r="J220" s="5">
        <v>1</v>
      </c>
      <c r="K220" s="5" t="s">
        <v>102</v>
      </c>
      <c r="L220" s="5" t="s">
        <v>109</v>
      </c>
      <c r="M220" s="5" t="s">
        <v>94</v>
      </c>
      <c r="N220" s="5" t="s">
        <v>268</v>
      </c>
      <c r="O220" s="4"/>
      <c r="P220" s="24">
        <f t="shared" si="42"/>
        <v>20</v>
      </c>
      <c r="Q220" s="8">
        <f t="shared" si="43"/>
        <v>0</v>
      </c>
      <c r="R220" s="8">
        <f t="shared" si="44"/>
        <v>20</v>
      </c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>
        <v>1</v>
      </c>
      <c r="AH220" s="8"/>
      <c r="AI220" s="8"/>
      <c r="AJ220" s="8"/>
      <c r="AK220" s="8"/>
      <c r="AL220" s="8"/>
      <c r="AM220" s="8">
        <v>6</v>
      </c>
      <c r="AN220" s="8"/>
      <c r="AO220" s="8"/>
      <c r="AP220" s="8">
        <v>1</v>
      </c>
      <c r="AQ220" s="8"/>
      <c r="AR220" s="8"/>
      <c r="AS220" s="8"/>
      <c r="AT220" s="8"/>
      <c r="AU220" s="8"/>
      <c r="AV220" s="8">
        <v>7</v>
      </c>
      <c r="AW220" s="8"/>
      <c r="AX220" s="8"/>
      <c r="AY220" s="8">
        <v>2</v>
      </c>
      <c r="AZ220" s="8"/>
      <c r="BA220" s="8"/>
      <c r="BB220" s="8"/>
      <c r="BC220" s="8"/>
      <c r="BD220" s="8"/>
      <c r="BE220" s="8"/>
      <c r="BF220" s="8"/>
      <c r="BG220" s="8">
        <v>2</v>
      </c>
      <c r="BH220" s="8"/>
      <c r="BI220" s="8"/>
      <c r="BJ220" s="8"/>
      <c r="BK220" s="8"/>
      <c r="BL220" s="8"/>
      <c r="BM220" s="8">
        <v>1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</row>
    <row r="221" spans="1:76" ht="16.5" customHeight="1" x14ac:dyDescent="0.3">
      <c r="A221" t="s">
        <v>724</v>
      </c>
      <c r="B221" t="s">
        <v>656</v>
      </c>
      <c r="C221" t="s">
        <v>725</v>
      </c>
      <c r="D221" t="s">
        <v>725</v>
      </c>
      <c r="E221" t="s">
        <v>733</v>
      </c>
      <c r="F221" t="s">
        <v>733</v>
      </c>
      <c r="G221" s="5">
        <v>1495004</v>
      </c>
      <c r="H221" s="7" t="s">
        <v>277</v>
      </c>
      <c r="I221" s="5" t="s">
        <v>253</v>
      </c>
      <c r="J221" s="5">
        <v>1</v>
      </c>
      <c r="K221" s="5" t="s">
        <v>102</v>
      </c>
      <c r="L221" s="5" t="s">
        <v>109</v>
      </c>
      <c r="M221" s="5" t="s">
        <v>94</v>
      </c>
      <c r="N221" s="5" t="s">
        <v>268</v>
      </c>
      <c r="O221" s="4"/>
      <c r="P221" s="24">
        <f t="shared" si="42"/>
        <v>26</v>
      </c>
      <c r="Q221" s="8">
        <f t="shared" si="43"/>
        <v>0</v>
      </c>
      <c r="R221" s="8">
        <f t="shared" si="44"/>
        <v>26</v>
      </c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>
        <v>1</v>
      </c>
      <c r="AG221" s="8"/>
      <c r="AH221" s="8"/>
      <c r="AI221" s="8"/>
      <c r="AJ221" s="8">
        <v>1</v>
      </c>
      <c r="AK221" s="8"/>
      <c r="AL221" s="8"/>
      <c r="AM221" s="8">
        <v>1</v>
      </c>
      <c r="AN221" s="8"/>
      <c r="AO221" s="8"/>
      <c r="AP221" s="8">
        <v>6</v>
      </c>
      <c r="AQ221" s="8"/>
      <c r="AR221" s="8"/>
      <c r="AS221" s="8"/>
      <c r="AT221" s="8">
        <v>2</v>
      </c>
      <c r="AU221" s="8">
        <v>1</v>
      </c>
      <c r="AV221" s="8"/>
      <c r="AW221" s="8"/>
      <c r="AX221" s="8"/>
      <c r="AY221" s="8">
        <v>8</v>
      </c>
      <c r="AZ221" s="8"/>
      <c r="BA221" s="8"/>
      <c r="BB221" s="8"/>
      <c r="BC221" s="8">
        <v>5</v>
      </c>
      <c r="BD221" s="8"/>
      <c r="BE221" s="8"/>
      <c r="BF221" s="8"/>
      <c r="BG221" s="8">
        <v>1</v>
      </c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</row>
    <row r="222" spans="1:76" ht="16.5" customHeight="1" x14ac:dyDescent="0.3">
      <c r="A222" t="s">
        <v>724</v>
      </c>
      <c r="B222" t="s">
        <v>656</v>
      </c>
      <c r="C222" t="s">
        <v>725</v>
      </c>
      <c r="D222" t="s">
        <v>725</v>
      </c>
      <c r="E222" t="s">
        <v>734</v>
      </c>
      <c r="F222" t="s">
        <v>734</v>
      </c>
      <c r="G222" s="5">
        <v>1495011</v>
      </c>
      <c r="H222" s="7" t="s">
        <v>278</v>
      </c>
      <c r="I222" s="5" t="s">
        <v>253</v>
      </c>
      <c r="J222" s="5">
        <v>1</v>
      </c>
      <c r="K222" s="5" t="s">
        <v>102</v>
      </c>
      <c r="L222" s="5" t="s">
        <v>109</v>
      </c>
      <c r="M222" s="5" t="s">
        <v>94</v>
      </c>
      <c r="N222" s="5" t="s">
        <v>268</v>
      </c>
      <c r="O222" s="4"/>
      <c r="P222" s="24">
        <f t="shared" si="42"/>
        <v>18</v>
      </c>
      <c r="Q222" s="8">
        <f t="shared" si="43"/>
        <v>0</v>
      </c>
      <c r="R222" s="8">
        <f t="shared" si="44"/>
        <v>18</v>
      </c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>
        <v>1</v>
      </c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>
        <v>6</v>
      </c>
      <c r="AQ222" s="8"/>
      <c r="AR222" s="8"/>
      <c r="AS222" s="8"/>
      <c r="AT222" s="8">
        <v>1</v>
      </c>
      <c r="AU222" s="8"/>
      <c r="AV222" s="8">
        <v>1</v>
      </c>
      <c r="AW222" s="8"/>
      <c r="AX222" s="8"/>
      <c r="AY222" s="8">
        <v>6</v>
      </c>
      <c r="AZ222" s="8"/>
      <c r="BA222" s="8"/>
      <c r="BB222" s="8"/>
      <c r="BC222" s="8">
        <v>2</v>
      </c>
      <c r="BD222" s="8"/>
      <c r="BE222" s="8"/>
      <c r="BF222" s="8"/>
      <c r="BG222" s="8">
        <v>1</v>
      </c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</row>
    <row r="223" spans="1:76" ht="16.5" customHeight="1" x14ac:dyDescent="0.3">
      <c r="A223" t="s">
        <v>724</v>
      </c>
      <c r="B223" t="s">
        <v>656</v>
      </c>
      <c r="C223" t="s">
        <v>725</v>
      </c>
      <c r="D223" t="s">
        <v>725</v>
      </c>
      <c r="E223" t="s">
        <v>735</v>
      </c>
      <c r="F223" t="s">
        <v>735</v>
      </c>
      <c r="G223" s="5">
        <v>1495018</v>
      </c>
      <c r="H223" s="7" t="s">
        <v>279</v>
      </c>
      <c r="I223" s="5" t="s">
        <v>253</v>
      </c>
      <c r="J223" s="5">
        <v>1</v>
      </c>
      <c r="K223" s="5" t="s">
        <v>102</v>
      </c>
      <c r="L223" s="5" t="s">
        <v>109</v>
      </c>
      <c r="M223" s="5" t="s">
        <v>94</v>
      </c>
      <c r="N223" s="5" t="s">
        <v>268</v>
      </c>
      <c r="O223" s="4"/>
      <c r="P223" s="24">
        <f t="shared" si="42"/>
        <v>10</v>
      </c>
      <c r="Q223" s="8">
        <f t="shared" si="43"/>
        <v>0</v>
      </c>
      <c r="R223" s="8">
        <f t="shared" si="44"/>
        <v>10</v>
      </c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>
        <v>1</v>
      </c>
      <c r="AJ223" s="8"/>
      <c r="AK223" s="8"/>
      <c r="AL223" s="8"/>
      <c r="AM223" s="8"/>
      <c r="AN223" s="8"/>
      <c r="AO223" s="8"/>
      <c r="AP223" s="8">
        <v>2</v>
      </c>
      <c r="AQ223" s="8"/>
      <c r="AR223" s="8"/>
      <c r="AS223" s="8"/>
      <c r="AT223" s="8"/>
      <c r="AU223" s="8">
        <v>1</v>
      </c>
      <c r="AV223" s="8"/>
      <c r="AW223" s="8"/>
      <c r="AX223" s="8"/>
      <c r="AY223" s="8">
        <v>4</v>
      </c>
      <c r="AZ223" s="8"/>
      <c r="BA223" s="8"/>
      <c r="BB223" s="8"/>
      <c r="BC223" s="8"/>
      <c r="BD223" s="8">
        <v>1</v>
      </c>
      <c r="BE223" s="8"/>
      <c r="BF223" s="8"/>
      <c r="BG223" s="8">
        <v>1</v>
      </c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</row>
    <row r="224" spans="1:76" ht="16.5" customHeight="1" x14ac:dyDescent="0.3">
      <c r="A224" t="s">
        <v>724</v>
      </c>
      <c r="B224" t="s">
        <v>656</v>
      </c>
      <c r="C224" t="s">
        <v>725</v>
      </c>
      <c r="D224" t="s">
        <v>725</v>
      </c>
      <c r="E224" t="s">
        <v>736</v>
      </c>
      <c r="F224" t="s">
        <v>736</v>
      </c>
      <c r="G224" s="5">
        <v>1495025</v>
      </c>
      <c r="H224" s="7" t="s">
        <v>217</v>
      </c>
      <c r="I224" s="5" t="s">
        <v>253</v>
      </c>
      <c r="J224" s="5">
        <v>1</v>
      </c>
      <c r="K224" s="5" t="s">
        <v>102</v>
      </c>
      <c r="L224" s="5" t="s">
        <v>109</v>
      </c>
      <c r="M224" s="5" t="s">
        <v>94</v>
      </c>
      <c r="N224" s="5" t="s">
        <v>268</v>
      </c>
      <c r="O224" s="4"/>
      <c r="P224" s="24">
        <f t="shared" si="42"/>
        <v>16</v>
      </c>
      <c r="Q224" s="8">
        <f t="shared" si="43"/>
        <v>0</v>
      </c>
      <c r="R224" s="8">
        <f t="shared" si="44"/>
        <v>16</v>
      </c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>
        <v>1</v>
      </c>
      <c r="AK224" s="8"/>
      <c r="AL224" s="8"/>
      <c r="AM224" s="8"/>
      <c r="AN224" s="8"/>
      <c r="AO224" s="8"/>
      <c r="AP224" s="8">
        <v>4</v>
      </c>
      <c r="AQ224" s="8"/>
      <c r="AR224" s="8"/>
      <c r="AS224" s="8"/>
      <c r="AT224" s="8">
        <v>2</v>
      </c>
      <c r="AU224" s="8">
        <v>1</v>
      </c>
      <c r="AV224" s="8"/>
      <c r="AW224" s="8"/>
      <c r="AX224" s="8"/>
      <c r="AY224" s="8">
        <v>4</v>
      </c>
      <c r="AZ224" s="8"/>
      <c r="BA224" s="8"/>
      <c r="BB224" s="8"/>
      <c r="BC224" s="8">
        <v>3</v>
      </c>
      <c r="BD224" s="8"/>
      <c r="BE224" s="8"/>
      <c r="BF224" s="8"/>
      <c r="BG224" s="8">
        <v>1</v>
      </c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</row>
    <row r="225" spans="1:76" ht="16.5" customHeight="1" x14ac:dyDescent="0.3">
      <c r="G225" s="14">
        <v>1494431</v>
      </c>
      <c r="H225" s="15" t="s">
        <v>356</v>
      </c>
      <c r="I225" s="14" t="s">
        <v>253</v>
      </c>
      <c r="J225" s="14">
        <v>2</v>
      </c>
      <c r="K225" s="14" t="s">
        <v>254</v>
      </c>
      <c r="L225" s="14" t="s">
        <v>255</v>
      </c>
      <c r="M225" s="14" t="s">
        <v>94</v>
      </c>
      <c r="N225" s="14" t="s">
        <v>110</v>
      </c>
      <c r="O225" s="13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</row>
    <row r="226" spans="1:76" ht="16.5" customHeight="1" x14ac:dyDescent="0.3">
      <c r="A226" t="s">
        <v>724</v>
      </c>
      <c r="B226" t="s">
        <v>656</v>
      </c>
      <c r="C226" t="s">
        <v>725</v>
      </c>
      <c r="D226" t="s">
        <v>737</v>
      </c>
      <c r="E226" t="s">
        <v>737</v>
      </c>
      <c r="F226" t="s">
        <v>737</v>
      </c>
      <c r="G226" s="5">
        <v>1494431</v>
      </c>
      <c r="H226" s="38" t="s">
        <v>357</v>
      </c>
      <c r="I226" s="5" t="s">
        <v>253</v>
      </c>
      <c r="J226" s="5">
        <v>2</v>
      </c>
      <c r="K226" s="5" t="s">
        <v>254</v>
      </c>
      <c r="L226" s="5" t="s">
        <v>255</v>
      </c>
      <c r="M226" s="5" t="s">
        <v>94</v>
      </c>
      <c r="N226" s="5" t="s">
        <v>110</v>
      </c>
      <c r="O226" s="4"/>
      <c r="P226" s="24">
        <f t="shared" ref="P226:P236" si="45">SUM(Q226,R226)</f>
        <v>1</v>
      </c>
      <c r="Q226" s="8">
        <f t="shared" ref="Q226:Q236" si="46">S226</f>
        <v>0</v>
      </c>
      <c r="R226" s="8">
        <f t="shared" ref="R226:R236" si="47">SUM(T226:BX226)</f>
        <v>1</v>
      </c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>
        <v>1</v>
      </c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</row>
    <row r="227" spans="1:76" ht="16.5" customHeight="1" x14ac:dyDescent="0.3">
      <c r="A227" t="s">
        <v>724</v>
      </c>
      <c r="B227" t="s">
        <v>656</v>
      </c>
      <c r="C227" t="s">
        <v>725</v>
      </c>
      <c r="D227" t="s">
        <v>737</v>
      </c>
      <c r="E227" t="s">
        <v>738</v>
      </c>
      <c r="F227" t="s">
        <v>738</v>
      </c>
      <c r="G227" s="5">
        <v>1494432</v>
      </c>
      <c r="H227" s="7" t="s">
        <v>358</v>
      </c>
      <c r="I227" s="5" t="s">
        <v>253</v>
      </c>
      <c r="J227" s="5">
        <v>2</v>
      </c>
      <c r="K227" s="5" t="s">
        <v>102</v>
      </c>
      <c r="L227" s="5" t="s">
        <v>109</v>
      </c>
      <c r="M227" s="5" t="s">
        <v>94</v>
      </c>
      <c r="N227" s="5" t="s">
        <v>283</v>
      </c>
      <c r="O227" s="4"/>
      <c r="P227" s="24">
        <f t="shared" si="45"/>
        <v>50</v>
      </c>
      <c r="Q227" s="8">
        <f t="shared" si="46"/>
        <v>0</v>
      </c>
      <c r="R227" s="8">
        <f t="shared" si="47"/>
        <v>50</v>
      </c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>
        <v>1</v>
      </c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>
        <v>3</v>
      </c>
      <c r="AQ227" s="8"/>
      <c r="AR227" s="8"/>
      <c r="AS227" s="8"/>
      <c r="AT227" s="8">
        <v>1</v>
      </c>
      <c r="AU227" s="8"/>
      <c r="AV227" s="8"/>
      <c r="AW227" s="8">
        <v>1</v>
      </c>
      <c r="AX227" s="8"/>
      <c r="AY227" s="8">
        <v>11</v>
      </c>
      <c r="AZ227" s="8"/>
      <c r="BA227" s="8"/>
      <c r="BB227" s="8"/>
      <c r="BC227" s="8"/>
      <c r="BD227" s="8"/>
      <c r="BE227" s="8"/>
      <c r="BF227" s="8"/>
      <c r="BG227" s="8"/>
      <c r="BH227" s="8">
        <v>1</v>
      </c>
      <c r="BI227" s="8"/>
      <c r="BJ227" s="8">
        <v>11</v>
      </c>
      <c r="BK227" s="8"/>
      <c r="BL227" s="8">
        <v>5</v>
      </c>
      <c r="BM227" s="8"/>
      <c r="BN227" s="8"/>
      <c r="BO227" s="8"/>
      <c r="BP227" s="8"/>
      <c r="BQ227" s="8">
        <v>11</v>
      </c>
      <c r="BR227" s="8"/>
      <c r="BS227" s="8">
        <v>5</v>
      </c>
      <c r="BT227" s="8"/>
      <c r="BU227" s="8"/>
      <c r="BV227" s="8"/>
      <c r="BW227" s="8"/>
      <c r="BX227" s="8"/>
    </row>
    <row r="228" spans="1:76" ht="16.5" customHeight="1" x14ac:dyDescent="0.3">
      <c r="A228" t="s">
        <v>724</v>
      </c>
      <c r="B228" t="s">
        <v>656</v>
      </c>
      <c r="C228" t="s">
        <v>725</v>
      </c>
      <c r="D228" t="s">
        <v>737</v>
      </c>
      <c r="E228" t="s">
        <v>739</v>
      </c>
      <c r="F228" t="s">
        <v>739</v>
      </c>
      <c r="G228" s="5">
        <v>1494881</v>
      </c>
      <c r="H228" s="7" t="s">
        <v>359</v>
      </c>
      <c r="I228" s="5" t="s">
        <v>253</v>
      </c>
      <c r="J228" s="5">
        <v>2</v>
      </c>
      <c r="K228" s="5" t="s">
        <v>102</v>
      </c>
      <c r="L228" s="5" t="s">
        <v>109</v>
      </c>
      <c r="M228" s="5" t="s">
        <v>94</v>
      </c>
      <c r="N228" s="5" t="s">
        <v>283</v>
      </c>
      <c r="O228" s="4"/>
      <c r="P228" s="24">
        <f t="shared" si="45"/>
        <v>27</v>
      </c>
      <c r="Q228" s="8">
        <f t="shared" si="46"/>
        <v>0</v>
      </c>
      <c r="R228" s="8">
        <f t="shared" si="47"/>
        <v>27</v>
      </c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>
        <v>1</v>
      </c>
      <c r="AJ228" s="8"/>
      <c r="AK228" s="8"/>
      <c r="AL228" s="8"/>
      <c r="AM228" s="8"/>
      <c r="AN228" s="8"/>
      <c r="AO228" s="8"/>
      <c r="AP228" s="8">
        <v>2</v>
      </c>
      <c r="AQ228" s="8"/>
      <c r="AR228" s="8"/>
      <c r="AS228" s="8"/>
      <c r="AT228" s="8"/>
      <c r="AU228" s="8"/>
      <c r="AV228" s="8"/>
      <c r="AW228" s="8">
        <v>1</v>
      </c>
      <c r="AX228" s="8"/>
      <c r="AY228" s="8">
        <v>5</v>
      </c>
      <c r="AZ228" s="8"/>
      <c r="BA228" s="8"/>
      <c r="BB228" s="8"/>
      <c r="BC228" s="8"/>
      <c r="BD228" s="8"/>
      <c r="BE228" s="8"/>
      <c r="BF228" s="8"/>
      <c r="BG228" s="8"/>
      <c r="BH228" s="8">
        <v>1</v>
      </c>
      <c r="BI228" s="8"/>
      <c r="BJ228" s="8">
        <v>7</v>
      </c>
      <c r="BK228" s="8"/>
      <c r="BL228" s="8">
        <v>1</v>
      </c>
      <c r="BM228" s="8"/>
      <c r="BN228" s="8"/>
      <c r="BO228" s="8"/>
      <c r="BP228" s="8"/>
      <c r="BQ228" s="8">
        <v>7</v>
      </c>
      <c r="BR228" s="8"/>
      <c r="BS228" s="8">
        <v>2</v>
      </c>
      <c r="BT228" s="8"/>
      <c r="BU228" s="8"/>
      <c r="BV228" s="8"/>
      <c r="BW228" s="8"/>
      <c r="BX228" s="8"/>
    </row>
    <row r="229" spans="1:76" ht="16.5" customHeight="1" x14ac:dyDescent="0.3">
      <c r="A229" t="s">
        <v>724</v>
      </c>
      <c r="B229" t="s">
        <v>656</v>
      </c>
      <c r="C229" t="s">
        <v>725</v>
      </c>
      <c r="D229" t="s">
        <v>737</v>
      </c>
      <c r="E229" t="s">
        <v>665</v>
      </c>
      <c r="F229" t="s">
        <v>727</v>
      </c>
      <c r="G229" s="5">
        <v>1494810</v>
      </c>
      <c r="H229" s="7" t="s">
        <v>284</v>
      </c>
      <c r="I229" s="5" t="s">
        <v>253</v>
      </c>
      <c r="J229" s="5">
        <v>2</v>
      </c>
      <c r="K229" s="5" t="s">
        <v>102</v>
      </c>
      <c r="L229" s="5" t="s">
        <v>109</v>
      </c>
      <c r="M229" s="5" t="s">
        <v>94</v>
      </c>
      <c r="N229" s="5" t="s">
        <v>285</v>
      </c>
      <c r="O229" s="4"/>
      <c r="P229" s="24">
        <f t="shared" si="45"/>
        <v>20</v>
      </c>
      <c r="Q229" s="8">
        <f t="shared" si="46"/>
        <v>0</v>
      </c>
      <c r="R229" s="8">
        <f t="shared" si="47"/>
        <v>20</v>
      </c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>
        <v>1</v>
      </c>
      <c r="AK229" s="8"/>
      <c r="AL229" s="8"/>
      <c r="AM229" s="8"/>
      <c r="AN229" s="8">
        <v>2</v>
      </c>
      <c r="AO229" s="8"/>
      <c r="AP229" s="8"/>
      <c r="AQ229" s="8"/>
      <c r="AR229" s="8"/>
      <c r="AS229" s="8"/>
      <c r="AT229" s="8"/>
      <c r="AU229" s="8"/>
      <c r="AV229" s="8"/>
      <c r="AW229" s="8">
        <v>1</v>
      </c>
      <c r="AX229" s="8"/>
      <c r="AY229" s="8">
        <v>3</v>
      </c>
      <c r="AZ229" s="8"/>
      <c r="BA229" s="8"/>
      <c r="BB229" s="8"/>
      <c r="BC229" s="8"/>
      <c r="BD229" s="8"/>
      <c r="BE229" s="8"/>
      <c r="BF229" s="8"/>
      <c r="BG229" s="8"/>
      <c r="BH229" s="8">
        <v>2</v>
      </c>
      <c r="BI229" s="8"/>
      <c r="BJ229" s="8">
        <v>2</v>
      </c>
      <c r="BK229" s="8"/>
      <c r="BL229" s="8">
        <v>2</v>
      </c>
      <c r="BM229" s="8"/>
      <c r="BN229" s="8"/>
      <c r="BO229" s="8"/>
      <c r="BP229" s="8"/>
      <c r="BQ229" s="8">
        <v>2</v>
      </c>
      <c r="BR229" s="8"/>
      <c r="BS229" s="8">
        <v>2</v>
      </c>
      <c r="BT229" s="8">
        <v>1</v>
      </c>
      <c r="BU229" s="8">
        <v>1</v>
      </c>
      <c r="BV229" s="8">
        <v>1</v>
      </c>
      <c r="BW229" s="8"/>
      <c r="BX229" s="8"/>
    </row>
    <row r="230" spans="1:76" ht="16.5" customHeight="1" x14ac:dyDescent="0.3">
      <c r="A230" t="s">
        <v>724</v>
      </c>
      <c r="B230" t="s">
        <v>656</v>
      </c>
      <c r="C230" t="s">
        <v>725</v>
      </c>
      <c r="D230" t="s">
        <v>737</v>
      </c>
      <c r="E230" t="s">
        <v>670</v>
      </c>
      <c r="F230" t="s">
        <v>670</v>
      </c>
      <c r="G230" s="5">
        <v>1495105</v>
      </c>
      <c r="H230" s="7" t="s">
        <v>288</v>
      </c>
      <c r="I230" s="5" t="s">
        <v>253</v>
      </c>
      <c r="J230" s="5">
        <v>2</v>
      </c>
      <c r="K230" s="5" t="s">
        <v>102</v>
      </c>
      <c r="L230" s="5" t="s">
        <v>109</v>
      </c>
      <c r="M230" s="5" t="s">
        <v>94</v>
      </c>
      <c r="N230" s="5" t="s">
        <v>285</v>
      </c>
      <c r="O230" s="4"/>
      <c r="P230" s="24">
        <f t="shared" si="45"/>
        <v>24</v>
      </c>
      <c r="Q230" s="8">
        <f t="shared" si="46"/>
        <v>0</v>
      </c>
      <c r="R230" s="8">
        <f t="shared" si="47"/>
        <v>24</v>
      </c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>
        <v>1</v>
      </c>
      <c r="AJ230" s="8"/>
      <c r="AK230" s="8"/>
      <c r="AL230" s="8"/>
      <c r="AM230" s="8"/>
      <c r="AN230" s="8">
        <v>9</v>
      </c>
      <c r="AO230" s="8"/>
      <c r="AP230" s="8"/>
      <c r="AQ230" s="8"/>
      <c r="AR230" s="8"/>
      <c r="AS230" s="8"/>
      <c r="AT230" s="8"/>
      <c r="AU230" s="8"/>
      <c r="AV230" s="8"/>
      <c r="AW230" s="8">
        <v>10</v>
      </c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>
        <v>3</v>
      </c>
      <c r="BI230" s="8"/>
      <c r="BJ230" s="8"/>
      <c r="BK230" s="8"/>
      <c r="BL230" s="8"/>
      <c r="BM230" s="8"/>
      <c r="BN230" s="8"/>
      <c r="BO230" s="8">
        <v>1</v>
      </c>
      <c r="BP230" s="8"/>
      <c r="BQ230" s="8"/>
      <c r="BR230" s="8"/>
      <c r="BS230" s="8"/>
      <c r="BT230" s="8"/>
      <c r="BU230" s="8"/>
      <c r="BV230" s="8"/>
      <c r="BW230" s="8"/>
      <c r="BX230" s="8"/>
    </row>
    <row r="231" spans="1:76" ht="16.5" customHeight="1" x14ac:dyDescent="0.3">
      <c r="A231" t="s">
        <v>724</v>
      </c>
      <c r="B231" t="s">
        <v>656</v>
      </c>
      <c r="C231" t="s">
        <v>725</v>
      </c>
      <c r="D231" t="s">
        <v>737</v>
      </c>
      <c r="E231" t="s">
        <v>731</v>
      </c>
      <c r="F231" t="s">
        <v>731</v>
      </c>
      <c r="G231" s="5">
        <v>1495141</v>
      </c>
      <c r="H231" s="7" t="s">
        <v>289</v>
      </c>
      <c r="I231" s="5" t="s">
        <v>253</v>
      </c>
      <c r="J231" s="5">
        <v>2</v>
      </c>
      <c r="K231" s="5" t="s">
        <v>102</v>
      </c>
      <c r="L231" s="5" t="s">
        <v>109</v>
      </c>
      <c r="M231" s="5" t="s">
        <v>94</v>
      </c>
      <c r="N231" s="5" t="s">
        <v>285</v>
      </c>
      <c r="O231" s="4"/>
      <c r="P231" s="24">
        <f t="shared" si="45"/>
        <v>15</v>
      </c>
      <c r="Q231" s="8">
        <f t="shared" si="46"/>
        <v>0</v>
      </c>
      <c r="R231" s="8">
        <f t="shared" si="47"/>
        <v>15</v>
      </c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>
        <v>1</v>
      </c>
      <c r="AJ231" s="8"/>
      <c r="AK231" s="8"/>
      <c r="AL231" s="8"/>
      <c r="AM231" s="8"/>
      <c r="AN231" s="8">
        <v>5</v>
      </c>
      <c r="AO231" s="8"/>
      <c r="AP231" s="8"/>
      <c r="AQ231" s="8"/>
      <c r="AR231" s="8"/>
      <c r="AS231" s="8"/>
      <c r="AT231" s="8"/>
      <c r="AU231" s="8"/>
      <c r="AV231" s="8"/>
      <c r="AW231" s="8">
        <v>6</v>
      </c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>
        <v>2</v>
      </c>
      <c r="BI231" s="8"/>
      <c r="BJ231" s="8"/>
      <c r="BK231" s="8"/>
      <c r="BL231" s="8"/>
      <c r="BM231" s="8"/>
      <c r="BN231" s="8"/>
      <c r="BO231" s="8">
        <v>1</v>
      </c>
      <c r="BP231" s="8"/>
      <c r="BQ231" s="8"/>
      <c r="BR231" s="8"/>
      <c r="BS231" s="8"/>
      <c r="BT231" s="8"/>
      <c r="BU231" s="8"/>
      <c r="BV231" s="8"/>
      <c r="BW231" s="8"/>
      <c r="BX231" s="8"/>
    </row>
    <row r="232" spans="1:76" ht="16.5" customHeight="1" x14ac:dyDescent="0.3">
      <c r="A232" t="s">
        <v>724</v>
      </c>
      <c r="B232" t="s">
        <v>656</v>
      </c>
      <c r="C232" t="s">
        <v>725</v>
      </c>
      <c r="D232" t="s">
        <v>737</v>
      </c>
      <c r="E232" t="s">
        <v>740</v>
      </c>
      <c r="F232" t="s">
        <v>740</v>
      </c>
      <c r="G232" s="5">
        <v>1495176</v>
      </c>
      <c r="H232" s="7" t="s">
        <v>290</v>
      </c>
      <c r="I232" s="5" t="s">
        <v>253</v>
      </c>
      <c r="J232" s="5">
        <v>2</v>
      </c>
      <c r="K232" s="5" t="s">
        <v>102</v>
      </c>
      <c r="L232" s="5" t="s">
        <v>109</v>
      </c>
      <c r="M232" s="5" t="s">
        <v>94</v>
      </c>
      <c r="N232" s="5" t="s">
        <v>285</v>
      </c>
      <c r="O232" s="4"/>
      <c r="P232" s="24">
        <f t="shared" si="45"/>
        <v>15</v>
      </c>
      <c r="Q232" s="8">
        <f t="shared" si="46"/>
        <v>0</v>
      </c>
      <c r="R232" s="8">
        <f t="shared" si="47"/>
        <v>15</v>
      </c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>
        <v>1</v>
      </c>
      <c r="AJ232" s="8"/>
      <c r="AK232" s="8"/>
      <c r="AL232" s="8"/>
      <c r="AM232" s="8"/>
      <c r="AN232" s="8">
        <v>5</v>
      </c>
      <c r="AO232" s="8"/>
      <c r="AP232" s="8"/>
      <c r="AQ232" s="8"/>
      <c r="AR232" s="8"/>
      <c r="AS232" s="8"/>
      <c r="AT232" s="8"/>
      <c r="AU232" s="8"/>
      <c r="AV232" s="8"/>
      <c r="AW232" s="8">
        <v>7</v>
      </c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>
        <v>1</v>
      </c>
      <c r="BI232" s="8"/>
      <c r="BJ232" s="8"/>
      <c r="BK232" s="8"/>
      <c r="BL232" s="8"/>
      <c r="BM232" s="8"/>
      <c r="BN232" s="8"/>
      <c r="BO232" s="8">
        <v>1</v>
      </c>
      <c r="BP232" s="8"/>
      <c r="BQ232" s="8"/>
      <c r="BR232" s="8"/>
      <c r="BS232" s="8"/>
      <c r="BT232" s="8"/>
      <c r="BU232" s="8"/>
      <c r="BV232" s="8"/>
      <c r="BW232" s="8"/>
      <c r="BX232" s="8"/>
    </row>
    <row r="233" spans="1:76" ht="16.5" customHeight="1" x14ac:dyDescent="0.3">
      <c r="A233" t="s">
        <v>724</v>
      </c>
      <c r="B233" t="s">
        <v>656</v>
      </c>
      <c r="C233" t="s">
        <v>725</v>
      </c>
      <c r="D233" t="s">
        <v>737</v>
      </c>
      <c r="E233" t="s">
        <v>741</v>
      </c>
      <c r="F233" t="s">
        <v>741</v>
      </c>
      <c r="G233" s="5">
        <v>1495207</v>
      </c>
      <c r="H233" s="7" t="s">
        <v>291</v>
      </c>
      <c r="I233" s="5" t="s">
        <v>253</v>
      </c>
      <c r="J233" s="5">
        <v>2</v>
      </c>
      <c r="K233" s="5" t="s">
        <v>102</v>
      </c>
      <c r="L233" s="5" t="s">
        <v>109</v>
      </c>
      <c r="M233" s="5" t="s">
        <v>94</v>
      </c>
      <c r="N233" s="5" t="s">
        <v>285</v>
      </c>
      <c r="O233" s="4"/>
      <c r="P233" s="24">
        <f t="shared" si="45"/>
        <v>11</v>
      </c>
      <c r="Q233" s="8">
        <f t="shared" si="46"/>
        <v>0</v>
      </c>
      <c r="R233" s="8">
        <f t="shared" si="47"/>
        <v>11</v>
      </c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>
        <v>1</v>
      </c>
      <c r="AJ233" s="8"/>
      <c r="AK233" s="8"/>
      <c r="AL233" s="8"/>
      <c r="AM233" s="8"/>
      <c r="AN233" s="8">
        <v>4</v>
      </c>
      <c r="AO233" s="8"/>
      <c r="AP233" s="8"/>
      <c r="AQ233" s="8"/>
      <c r="AR233" s="8"/>
      <c r="AS233" s="8"/>
      <c r="AT233" s="8"/>
      <c r="AU233" s="8"/>
      <c r="AV233" s="8"/>
      <c r="AW233" s="8">
        <v>5</v>
      </c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>
        <v>1</v>
      </c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</row>
    <row r="234" spans="1:76" ht="16.5" customHeight="1" x14ac:dyDescent="0.3">
      <c r="A234" t="s">
        <v>724</v>
      </c>
      <c r="B234" t="s">
        <v>656</v>
      </c>
      <c r="C234" t="s">
        <v>725</v>
      </c>
      <c r="D234" t="s">
        <v>737</v>
      </c>
      <c r="E234" t="s">
        <v>734</v>
      </c>
      <c r="F234" t="s">
        <v>734</v>
      </c>
      <c r="G234" s="5">
        <v>1495231</v>
      </c>
      <c r="H234" s="7" t="s">
        <v>297</v>
      </c>
      <c r="I234" s="5" t="s">
        <v>253</v>
      </c>
      <c r="J234" s="5">
        <v>2</v>
      </c>
      <c r="K234" s="5" t="s">
        <v>102</v>
      </c>
      <c r="L234" s="5" t="s">
        <v>109</v>
      </c>
      <c r="M234" s="5" t="s">
        <v>94</v>
      </c>
      <c r="N234" s="5" t="s">
        <v>285</v>
      </c>
      <c r="O234" s="4"/>
      <c r="P234" s="24">
        <f t="shared" si="45"/>
        <v>5</v>
      </c>
      <c r="Q234" s="8">
        <f t="shared" si="46"/>
        <v>0</v>
      </c>
      <c r="R234" s="8">
        <f t="shared" si="47"/>
        <v>5</v>
      </c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>
        <v>1</v>
      </c>
      <c r="AL234" s="8"/>
      <c r="AM234" s="8"/>
      <c r="AN234" s="8"/>
      <c r="AO234" s="8"/>
      <c r="AP234" s="8"/>
      <c r="AQ234" s="8">
        <v>2</v>
      </c>
      <c r="AR234" s="8"/>
      <c r="AS234" s="8"/>
      <c r="AT234" s="8"/>
      <c r="AU234" s="8"/>
      <c r="AV234" s="8"/>
      <c r="AW234" s="8"/>
      <c r="AX234" s="8"/>
      <c r="AY234" s="8"/>
      <c r="AZ234" s="8">
        <v>2</v>
      </c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</row>
    <row r="235" spans="1:76" ht="16.5" customHeight="1" x14ac:dyDescent="0.3">
      <c r="A235" t="s">
        <v>724</v>
      </c>
      <c r="B235" t="s">
        <v>656</v>
      </c>
      <c r="C235" t="s">
        <v>725</v>
      </c>
      <c r="D235" t="s">
        <v>737</v>
      </c>
      <c r="E235" t="s">
        <v>735</v>
      </c>
      <c r="F235" t="s">
        <v>735</v>
      </c>
      <c r="G235" s="5">
        <v>1495253</v>
      </c>
      <c r="H235" s="7" t="s">
        <v>292</v>
      </c>
      <c r="I235" s="5" t="s">
        <v>253</v>
      </c>
      <c r="J235" s="5">
        <v>2</v>
      </c>
      <c r="K235" s="5" t="s">
        <v>102</v>
      </c>
      <c r="L235" s="5" t="s">
        <v>109</v>
      </c>
      <c r="M235" s="5" t="s">
        <v>94</v>
      </c>
      <c r="N235" s="5" t="s">
        <v>285</v>
      </c>
      <c r="O235" s="4"/>
      <c r="P235" s="24">
        <f t="shared" si="45"/>
        <v>21</v>
      </c>
      <c r="Q235" s="8">
        <f t="shared" si="46"/>
        <v>0</v>
      </c>
      <c r="R235" s="8">
        <f t="shared" si="47"/>
        <v>21</v>
      </c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>
        <v>1</v>
      </c>
      <c r="AK235" s="8"/>
      <c r="AL235" s="8"/>
      <c r="AM235" s="8"/>
      <c r="AN235" s="8"/>
      <c r="AO235" s="8"/>
      <c r="AP235" s="8"/>
      <c r="AQ235" s="8">
        <v>8</v>
      </c>
      <c r="AR235" s="8"/>
      <c r="AS235" s="8"/>
      <c r="AT235" s="8"/>
      <c r="AU235" s="8">
        <v>2</v>
      </c>
      <c r="AV235" s="8">
        <v>1</v>
      </c>
      <c r="AW235" s="8"/>
      <c r="AX235" s="8"/>
      <c r="AY235" s="8"/>
      <c r="AZ235" s="8">
        <v>5</v>
      </c>
      <c r="BA235" s="8"/>
      <c r="BB235" s="8"/>
      <c r="BC235" s="8"/>
      <c r="BD235" s="8">
        <v>2</v>
      </c>
      <c r="BE235" s="8">
        <v>1</v>
      </c>
      <c r="BF235" s="8"/>
      <c r="BG235" s="8"/>
      <c r="BH235" s="8">
        <v>1</v>
      </c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</row>
    <row r="236" spans="1:76" ht="16.5" customHeight="1" x14ac:dyDescent="0.3">
      <c r="A236" t="s">
        <v>724</v>
      </c>
      <c r="B236" t="s">
        <v>656</v>
      </c>
      <c r="C236" t="s">
        <v>725</v>
      </c>
      <c r="D236" t="s">
        <v>737</v>
      </c>
      <c r="E236" t="s">
        <v>736</v>
      </c>
      <c r="F236" t="s">
        <v>736</v>
      </c>
      <c r="G236" s="5">
        <v>1495267</v>
      </c>
      <c r="H236" s="7" t="s">
        <v>327</v>
      </c>
      <c r="I236" s="5" t="s">
        <v>253</v>
      </c>
      <c r="J236" s="5">
        <v>2</v>
      </c>
      <c r="K236" s="5" t="s">
        <v>102</v>
      </c>
      <c r="L236" s="5" t="s">
        <v>109</v>
      </c>
      <c r="M236" s="5" t="s">
        <v>94</v>
      </c>
      <c r="N236" s="5" t="s">
        <v>285</v>
      </c>
      <c r="O236" s="4"/>
      <c r="P236" s="24">
        <f t="shared" si="45"/>
        <v>7</v>
      </c>
      <c r="Q236" s="8">
        <f t="shared" si="46"/>
        <v>0</v>
      </c>
      <c r="R236" s="8">
        <f t="shared" si="47"/>
        <v>7</v>
      </c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>
        <v>1</v>
      </c>
      <c r="AK236" s="8"/>
      <c r="AL236" s="8"/>
      <c r="AM236" s="8"/>
      <c r="AN236" s="8"/>
      <c r="AO236" s="8"/>
      <c r="AP236" s="8"/>
      <c r="AQ236" s="8">
        <v>1</v>
      </c>
      <c r="AR236" s="8"/>
      <c r="AS236" s="8"/>
      <c r="AT236" s="8"/>
      <c r="AU236" s="8">
        <v>1</v>
      </c>
      <c r="AV236" s="8">
        <v>1</v>
      </c>
      <c r="AW236" s="8"/>
      <c r="AX236" s="8"/>
      <c r="AY236" s="8"/>
      <c r="AZ236" s="8">
        <v>1</v>
      </c>
      <c r="BA236" s="8"/>
      <c r="BB236" s="8"/>
      <c r="BC236" s="8"/>
      <c r="BD236" s="8">
        <v>2</v>
      </c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</row>
    <row r="237" spans="1:76" ht="16.5" customHeight="1" x14ac:dyDescent="0.3">
      <c r="G237" s="14">
        <v>1494455</v>
      </c>
      <c r="H237" s="15" t="s">
        <v>360</v>
      </c>
      <c r="I237" s="14" t="s">
        <v>253</v>
      </c>
      <c r="J237" s="14">
        <v>2</v>
      </c>
      <c r="K237" s="14" t="s">
        <v>254</v>
      </c>
      <c r="L237" s="14" t="s">
        <v>255</v>
      </c>
      <c r="M237" s="14" t="s">
        <v>94</v>
      </c>
      <c r="N237" s="14" t="s">
        <v>110</v>
      </c>
      <c r="O237" s="13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</row>
    <row r="238" spans="1:76" ht="16.5" customHeight="1" x14ac:dyDescent="0.3">
      <c r="A238" t="s">
        <v>724</v>
      </c>
      <c r="B238" t="s">
        <v>656</v>
      </c>
      <c r="C238" t="s">
        <v>725</v>
      </c>
      <c r="D238" t="s">
        <v>742</v>
      </c>
      <c r="E238" t="s">
        <v>742</v>
      </c>
      <c r="F238" t="s">
        <v>742</v>
      </c>
      <c r="G238" s="5">
        <v>1494455</v>
      </c>
      <c r="H238" s="38" t="s">
        <v>361</v>
      </c>
      <c r="I238" s="5" t="s">
        <v>253</v>
      </c>
      <c r="J238" s="5">
        <v>2</v>
      </c>
      <c r="K238" s="5" t="s">
        <v>254</v>
      </c>
      <c r="L238" s="5" t="s">
        <v>255</v>
      </c>
      <c r="M238" s="5" t="s">
        <v>94</v>
      </c>
      <c r="N238" s="5" t="s">
        <v>110</v>
      </c>
      <c r="O238" s="4"/>
      <c r="P238" s="24">
        <f t="shared" ref="P238:P247" si="48">SUM(Q238,R238)</f>
        <v>1</v>
      </c>
      <c r="Q238" s="8">
        <f t="shared" ref="Q238:Q247" si="49">S238</f>
        <v>0</v>
      </c>
      <c r="R238" s="8">
        <f t="shared" ref="R238:R247" si="50">SUM(T238:BX238)</f>
        <v>1</v>
      </c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>
        <v>1</v>
      </c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</row>
    <row r="239" spans="1:76" ht="16.5" customHeight="1" x14ac:dyDescent="0.3">
      <c r="A239" t="s">
        <v>724</v>
      </c>
      <c r="B239" t="s">
        <v>656</v>
      </c>
      <c r="C239" t="s">
        <v>725</v>
      </c>
      <c r="D239" t="s">
        <v>742</v>
      </c>
      <c r="E239" t="s">
        <v>743</v>
      </c>
      <c r="F239" t="s">
        <v>743</v>
      </c>
      <c r="G239" s="5">
        <v>1494456</v>
      </c>
      <c r="H239" s="7" t="s">
        <v>362</v>
      </c>
      <c r="I239" s="5" t="s">
        <v>253</v>
      </c>
      <c r="J239" s="5">
        <v>2</v>
      </c>
      <c r="K239" s="5" t="s">
        <v>102</v>
      </c>
      <c r="L239" s="5" t="s">
        <v>109</v>
      </c>
      <c r="M239" s="5" t="s">
        <v>94</v>
      </c>
      <c r="N239" s="5" t="s">
        <v>283</v>
      </c>
      <c r="O239" s="4"/>
      <c r="P239" s="24">
        <f t="shared" si="48"/>
        <v>50</v>
      </c>
      <c r="Q239" s="8">
        <f t="shared" si="49"/>
        <v>0</v>
      </c>
      <c r="R239" s="8">
        <f t="shared" si="50"/>
        <v>50</v>
      </c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>
        <v>1</v>
      </c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>
        <v>4</v>
      </c>
      <c r="AQ239" s="8"/>
      <c r="AR239" s="8"/>
      <c r="AS239" s="8"/>
      <c r="AT239" s="8"/>
      <c r="AU239" s="8"/>
      <c r="AV239" s="8"/>
      <c r="AW239" s="8">
        <v>1</v>
      </c>
      <c r="AX239" s="8"/>
      <c r="AY239" s="8">
        <v>9</v>
      </c>
      <c r="AZ239" s="8">
        <v>1</v>
      </c>
      <c r="BA239" s="8"/>
      <c r="BB239" s="8"/>
      <c r="BC239" s="8"/>
      <c r="BD239" s="8"/>
      <c r="BE239" s="8"/>
      <c r="BF239" s="8"/>
      <c r="BG239" s="8"/>
      <c r="BH239" s="8">
        <v>2</v>
      </c>
      <c r="BI239" s="8"/>
      <c r="BJ239" s="8">
        <v>13</v>
      </c>
      <c r="BK239" s="8"/>
      <c r="BL239" s="8">
        <v>2</v>
      </c>
      <c r="BM239" s="8"/>
      <c r="BN239" s="8"/>
      <c r="BO239" s="8"/>
      <c r="BP239" s="8"/>
      <c r="BQ239" s="8">
        <v>11</v>
      </c>
      <c r="BR239" s="8"/>
      <c r="BS239" s="8">
        <v>6</v>
      </c>
      <c r="BT239" s="8"/>
      <c r="BU239" s="8"/>
      <c r="BV239" s="8"/>
      <c r="BW239" s="8"/>
      <c r="BX239" s="8"/>
    </row>
    <row r="240" spans="1:76" ht="16.5" customHeight="1" x14ac:dyDescent="0.3">
      <c r="A240" t="s">
        <v>724</v>
      </c>
      <c r="B240" t="s">
        <v>656</v>
      </c>
      <c r="C240" t="s">
        <v>725</v>
      </c>
      <c r="D240" t="s">
        <v>742</v>
      </c>
      <c r="E240" t="s">
        <v>744</v>
      </c>
      <c r="F240" t="s">
        <v>744</v>
      </c>
      <c r="G240" s="5">
        <v>1494457</v>
      </c>
      <c r="H240" s="7" t="s">
        <v>363</v>
      </c>
      <c r="I240" s="5" t="s">
        <v>253</v>
      </c>
      <c r="J240" s="5">
        <v>2</v>
      </c>
      <c r="K240" s="5" t="s">
        <v>102</v>
      </c>
      <c r="L240" s="5" t="s">
        <v>109</v>
      </c>
      <c r="M240" s="5" t="s">
        <v>94</v>
      </c>
      <c r="N240" s="5" t="s">
        <v>283</v>
      </c>
      <c r="O240" s="4"/>
      <c r="P240" s="24">
        <f t="shared" si="48"/>
        <v>21</v>
      </c>
      <c r="Q240" s="8">
        <f t="shared" si="49"/>
        <v>0</v>
      </c>
      <c r="R240" s="8">
        <f t="shared" si="50"/>
        <v>21</v>
      </c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>
        <v>1</v>
      </c>
      <c r="AK240" s="8"/>
      <c r="AL240" s="8"/>
      <c r="AM240" s="8"/>
      <c r="AN240" s="8"/>
      <c r="AO240" s="8"/>
      <c r="AP240" s="8">
        <v>2</v>
      </c>
      <c r="AQ240" s="8"/>
      <c r="AR240" s="8"/>
      <c r="AS240" s="8"/>
      <c r="AT240" s="8"/>
      <c r="AU240" s="8"/>
      <c r="AV240" s="8"/>
      <c r="AW240" s="8">
        <v>1</v>
      </c>
      <c r="AX240" s="8"/>
      <c r="AY240" s="8">
        <v>3</v>
      </c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>
        <v>6</v>
      </c>
      <c r="BK240" s="8"/>
      <c r="BL240" s="8">
        <v>1</v>
      </c>
      <c r="BM240" s="8"/>
      <c r="BN240" s="8"/>
      <c r="BO240" s="8"/>
      <c r="BP240" s="8"/>
      <c r="BQ240" s="8">
        <v>6</v>
      </c>
      <c r="BR240" s="8"/>
      <c r="BS240" s="8">
        <v>1</v>
      </c>
      <c r="BT240" s="8"/>
      <c r="BU240" s="8"/>
      <c r="BV240" s="8"/>
      <c r="BW240" s="8"/>
      <c r="BX240" s="8"/>
    </row>
    <row r="241" spans="1:76" ht="16.5" customHeight="1" x14ac:dyDescent="0.3">
      <c r="A241" t="s">
        <v>724</v>
      </c>
      <c r="B241" t="s">
        <v>656</v>
      </c>
      <c r="C241" t="s">
        <v>725</v>
      </c>
      <c r="D241" t="s">
        <v>742</v>
      </c>
      <c r="E241" t="s">
        <v>665</v>
      </c>
      <c r="F241" t="s">
        <v>727</v>
      </c>
      <c r="G241" s="5">
        <v>1494812</v>
      </c>
      <c r="H241" s="7" t="s">
        <v>284</v>
      </c>
      <c r="I241" s="5" t="s">
        <v>253</v>
      </c>
      <c r="J241" s="5">
        <v>2</v>
      </c>
      <c r="K241" s="5" t="s">
        <v>102</v>
      </c>
      <c r="L241" s="5" t="s">
        <v>109</v>
      </c>
      <c r="M241" s="5" t="s">
        <v>94</v>
      </c>
      <c r="N241" s="5" t="s">
        <v>285</v>
      </c>
      <c r="O241" s="4"/>
      <c r="P241" s="24">
        <f t="shared" si="48"/>
        <v>23</v>
      </c>
      <c r="Q241" s="8">
        <f t="shared" si="49"/>
        <v>0</v>
      </c>
      <c r="R241" s="8">
        <f t="shared" si="50"/>
        <v>23</v>
      </c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>
        <v>1</v>
      </c>
      <c r="AK241" s="8"/>
      <c r="AL241" s="8"/>
      <c r="AM241" s="8"/>
      <c r="AN241" s="8">
        <v>2</v>
      </c>
      <c r="AO241" s="8"/>
      <c r="AP241" s="8"/>
      <c r="AQ241" s="8"/>
      <c r="AR241" s="8"/>
      <c r="AS241" s="8"/>
      <c r="AT241" s="8"/>
      <c r="AU241" s="8"/>
      <c r="AV241" s="8"/>
      <c r="AW241" s="8">
        <v>2</v>
      </c>
      <c r="AX241" s="8"/>
      <c r="AY241" s="8">
        <v>4</v>
      </c>
      <c r="AZ241" s="8"/>
      <c r="BA241" s="8"/>
      <c r="BB241" s="8"/>
      <c r="BC241" s="8"/>
      <c r="BD241" s="8"/>
      <c r="BE241" s="8"/>
      <c r="BF241" s="8"/>
      <c r="BG241" s="8"/>
      <c r="BH241" s="8">
        <v>1</v>
      </c>
      <c r="BI241" s="8"/>
      <c r="BJ241" s="8">
        <v>3</v>
      </c>
      <c r="BK241" s="8"/>
      <c r="BL241" s="8">
        <v>2</v>
      </c>
      <c r="BM241" s="8"/>
      <c r="BN241" s="8"/>
      <c r="BO241" s="8"/>
      <c r="BP241" s="8"/>
      <c r="BQ241" s="8">
        <v>3</v>
      </c>
      <c r="BR241" s="8"/>
      <c r="BS241" s="8">
        <v>2</v>
      </c>
      <c r="BT241" s="8">
        <v>1</v>
      </c>
      <c r="BU241" s="8">
        <v>1</v>
      </c>
      <c r="BV241" s="8">
        <v>1</v>
      </c>
      <c r="BW241" s="8"/>
      <c r="BX241" s="8"/>
    </row>
    <row r="242" spans="1:76" ht="16.5" customHeight="1" x14ac:dyDescent="0.3">
      <c r="A242" t="s">
        <v>724</v>
      </c>
      <c r="B242" t="s">
        <v>656</v>
      </c>
      <c r="C242" t="s">
        <v>725</v>
      </c>
      <c r="D242" t="s">
        <v>742</v>
      </c>
      <c r="E242" t="s">
        <v>670</v>
      </c>
      <c r="F242" t="s">
        <v>670</v>
      </c>
      <c r="G242" s="5">
        <v>1495102</v>
      </c>
      <c r="H242" s="7" t="s">
        <v>288</v>
      </c>
      <c r="I242" s="5" t="s">
        <v>253</v>
      </c>
      <c r="J242" s="5">
        <v>2</v>
      </c>
      <c r="K242" s="5" t="s">
        <v>102</v>
      </c>
      <c r="L242" s="5" t="s">
        <v>109</v>
      </c>
      <c r="M242" s="5" t="s">
        <v>94</v>
      </c>
      <c r="N242" s="5" t="s">
        <v>285</v>
      </c>
      <c r="O242" s="4"/>
      <c r="P242" s="24">
        <f t="shared" si="48"/>
        <v>23</v>
      </c>
      <c r="Q242" s="8">
        <f t="shared" si="49"/>
        <v>0</v>
      </c>
      <c r="R242" s="8">
        <f t="shared" si="50"/>
        <v>23</v>
      </c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>
        <v>1</v>
      </c>
      <c r="AK242" s="8"/>
      <c r="AL242" s="8"/>
      <c r="AM242" s="8"/>
      <c r="AN242" s="8">
        <v>9</v>
      </c>
      <c r="AO242" s="8"/>
      <c r="AP242" s="8"/>
      <c r="AQ242" s="8"/>
      <c r="AR242" s="8"/>
      <c r="AS242" s="8"/>
      <c r="AT242" s="8"/>
      <c r="AU242" s="8"/>
      <c r="AV242" s="8"/>
      <c r="AW242" s="8">
        <v>9</v>
      </c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>
        <v>3</v>
      </c>
      <c r="BI242" s="8"/>
      <c r="BJ242" s="8"/>
      <c r="BK242" s="8"/>
      <c r="BL242" s="8"/>
      <c r="BM242" s="8"/>
      <c r="BN242" s="8"/>
      <c r="BO242" s="8">
        <v>1</v>
      </c>
      <c r="BP242" s="8"/>
      <c r="BQ242" s="8"/>
      <c r="BR242" s="8"/>
      <c r="BS242" s="8"/>
      <c r="BT242" s="8"/>
      <c r="BU242" s="8"/>
      <c r="BV242" s="8"/>
      <c r="BW242" s="8"/>
      <c r="BX242" s="8"/>
    </row>
    <row r="243" spans="1:76" ht="16.5" customHeight="1" x14ac:dyDescent="0.3">
      <c r="A243" t="s">
        <v>724</v>
      </c>
      <c r="B243" t="s">
        <v>656</v>
      </c>
      <c r="C243" t="s">
        <v>725</v>
      </c>
      <c r="D243" t="s">
        <v>742</v>
      </c>
      <c r="E243" t="s">
        <v>731</v>
      </c>
      <c r="F243" t="s">
        <v>731</v>
      </c>
      <c r="G243" s="5">
        <v>1495139</v>
      </c>
      <c r="H243" s="7" t="s">
        <v>289</v>
      </c>
      <c r="I243" s="5" t="s">
        <v>253</v>
      </c>
      <c r="J243" s="5">
        <v>2</v>
      </c>
      <c r="K243" s="5" t="s">
        <v>102</v>
      </c>
      <c r="L243" s="5" t="s">
        <v>109</v>
      </c>
      <c r="M243" s="5" t="s">
        <v>94</v>
      </c>
      <c r="N243" s="5" t="s">
        <v>285</v>
      </c>
      <c r="O243" s="4"/>
      <c r="P243" s="24">
        <f t="shared" si="48"/>
        <v>13</v>
      </c>
      <c r="Q243" s="8">
        <f t="shared" si="49"/>
        <v>0</v>
      </c>
      <c r="R243" s="8">
        <f t="shared" si="50"/>
        <v>13</v>
      </c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>
        <v>1</v>
      </c>
      <c r="AJ243" s="8"/>
      <c r="AK243" s="8"/>
      <c r="AL243" s="8"/>
      <c r="AM243" s="8"/>
      <c r="AN243" s="8">
        <v>5</v>
      </c>
      <c r="AO243" s="8"/>
      <c r="AP243" s="8"/>
      <c r="AQ243" s="8"/>
      <c r="AR243" s="8"/>
      <c r="AS243" s="8"/>
      <c r="AT243" s="8"/>
      <c r="AU243" s="8"/>
      <c r="AV243" s="8"/>
      <c r="AW243" s="8">
        <v>5</v>
      </c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>
        <v>1</v>
      </c>
      <c r="BI243" s="8"/>
      <c r="BJ243" s="8"/>
      <c r="BK243" s="8"/>
      <c r="BL243" s="8"/>
      <c r="BM243" s="8"/>
      <c r="BN243" s="8"/>
      <c r="BO243" s="8">
        <v>1</v>
      </c>
      <c r="BP243" s="8"/>
      <c r="BQ243" s="8"/>
      <c r="BR243" s="8"/>
      <c r="BS243" s="8"/>
      <c r="BT243" s="8"/>
      <c r="BU243" s="8"/>
      <c r="BV243" s="8"/>
      <c r="BW243" s="8"/>
      <c r="BX243" s="8"/>
    </row>
    <row r="244" spans="1:76" ht="16.5" customHeight="1" x14ac:dyDescent="0.3">
      <c r="A244" t="s">
        <v>724</v>
      </c>
      <c r="B244" t="s">
        <v>656</v>
      </c>
      <c r="C244" t="s">
        <v>725</v>
      </c>
      <c r="D244" t="s">
        <v>742</v>
      </c>
      <c r="E244" t="s">
        <v>740</v>
      </c>
      <c r="F244" t="s">
        <v>740</v>
      </c>
      <c r="G244" s="5">
        <v>1495175</v>
      </c>
      <c r="H244" s="7" t="s">
        <v>290</v>
      </c>
      <c r="I244" s="5" t="s">
        <v>253</v>
      </c>
      <c r="J244" s="5">
        <v>2</v>
      </c>
      <c r="K244" s="5" t="s">
        <v>102</v>
      </c>
      <c r="L244" s="5" t="s">
        <v>109</v>
      </c>
      <c r="M244" s="5" t="s">
        <v>94</v>
      </c>
      <c r="N244" s="5" t="s">
        <v>285</v>
      </c>
      <c r="O244" s="4"/>
      <c r="P244" s="24">
        <f t="shared" si="48"/>
        <v>13</v>
      </c>
      <c r="Q244" s="8">
        <f t="shared" si="49"/>
        <v>0</v>
      </c>
      <c r="R244" s="8">
        <f t="shared" si="50"/>
        <v>13</v>
      </c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>
        <v>1</v>
      </c>
      <c r="AJ244" s="8"/>
      <c r="AK244" s="8"/>
      <c r="AL244" s="8"/>
      <c r="AM244" s="8"/>
      <c r="AN244" s="8">
        <v>4</v>
      </c>
      <c r="AO244" s="8"/>
      <c r="AP244" s="8"/>
      <c r="AQ244" s="8"/>
      <c r="AR244" s="8"/>
      <c r="AS244" s="8"/>
      <c r="AT244" s="8"/>
      <c r="AU244" s="8"/>
      <c r="AV244" s="8"/>
      <c r="AW244" s="8">
        <v>5</v>
      </c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>
        <v>2</v>
      </c>
      <c r="BI244" s="8"/>
      <c r="BJ244" s="8"/>
      <c r="BK244" s="8"/>
      <c r="BL244" s="8"/>
      <c r="BM244" s="8"/>
      <c r="BN244" s="8"/>
      <c r="BO244" s="8">
        <v>1</v>
      </c>
      <c r="BP244" s="8"/>
      <c r="BQ244" s="8"/>
      <c r="BR244" s="8"/>
      <c r="BS244" s="8"/>
      <c r="BT244" s="8"/>
      <c r="BU244" s="8"/>
      <c r="BV244" s="8"/>
      <c r="BW244" s="8"/>
      <c r="BX244" s="8"/>
    </row>
    <row r="245" spans="1:76" ht="16.5" customHeight="1" x14ac:dyDescent="0.3">
      <c r="A245" t="s">
        <v>724</v>
      </c>
      <c r="B245" t="s">
        <v>656</v>
      </c>
      <c r="C245" t="s">
        <v>725</v>
      </c>
      <c r="D245" t="s">
        <v>742</v>
      </c>
      <c r="E245" t="s">
        <v>741</v>
      </c>
      <c r="F245" t="s">
        <v>741</v>
      </c>
      <c r="G245" s="5">
        <v>1495206</v>
      </c>
      <c r="H245" s="7" t="s">
        <v>291</v>
      </c>
      <c r="I245" s="5" t="s">
        <v>253</v>
      </c>
      <c r="J245" s="5">
        <v>2</v>
      </c>
      <c r="K245" s="5" t="s">
        <v>102</v>
      </c>
      <c r="L245" s="5" t="s">
        <v>109</v>
      </c>
      <c r="M245" s="5" t="s">
        <v>94</v>
      </c>
      <c r="N245" s="5" t="s">
        <v>285</v>
      </c>
      <c r="O245" s="4"/>
      <c r="P245" s="24">
        <f t="shared" si="48"/>
        <v>11</v>
      </c>
      <c r="Q245" s="8">
        <f t="shared" si="49"/>
        <v>0</v>
      </c>
      <c r="R245" s="8">
        <f t="shared" si="50"/>
        <v>11</v>
      </c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>
        <v>1</v>
      </c>
      <c r="AJ245" s="8"/>
      <c r="AK245" s="8"/>
      <c r="AL245" s="8"/>
      <c r="AM245" s="8"/>
      <c r="AN245" s="8">
        <v>4</v>
      </c>
      <c r="AO245" s="8"/>
      <c r="AP245" s="8"/>
      <c r="AQ245" s="8"/>
      <c r="AR245" s="8"/>
      <c r="AS245" s="8"/>
      <c r="AT245" s="8"/>
      <c r="AU245" s="8"/>
      <c r="AV245" s="8"/>
      <c r="AW245" s="8">
        <v>5</v>
      </c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>
        <v>1</v>
      </c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</row>
    <row r="246" spans="1:76" ht="16.5" customHeight="1" x14ac:dyDescent="0.3">
      <c r="A246" t="s">
        <v>724</v>
      </c>
      <c r="B246" t="s">
        <v>656</v>
      </c>
      <c r="C246" t="s">
        <v>725</v>
      </c>
      <c r="D246" t="s">
        <v>742</v>
      </c>
      <c r="E246" t="s">
        <v>734</v>
      </c>
      <c r="F246" t="s">
        <v>734</v>
      </c>
      <c r="G246" s="5">
        <v>1495230</v>
      </c>
      <c r="H246" s="7" t="s">
        <v>297</v>
      </c>
      <c r="I246" s="5" t="s">
        <v>253</v>
      </c>
      <c r="J246" s="5">
        <v>2</v>
      </c>
      <c r="K246" s="5" t="s">
        <v>102</v>
      </c>
      <c r="L246" s="5" t="s">
        <v>109</v>
      </c>
      <c r="M246" s="5" t="s">
        <v>94</v>
      </c>
      <c r="N246" s="5" t="s">
        <v>285</v>
      </c>
      <c r="O246" s="4"/>
      <c r="P246" s="24">
        <f t="shared" si="48"/>
        <v>5</v>
      </c>
      <c r="Q246" s="8">
        <f t="shared" si="49"/>
        <v>0</v>
      </c>
      <c r="R246" s="8">
        <f t="shared" si="50"/>
        <v>5</v>
      </c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>
        <v>1</v>
      </c>
      <c r="AL246" s="8"/>
      <c r="AM246" s="8"/>
      <c r="AN246" s="8"/>
      <c r="AO246" s="8"/>
      <c r="AP246" s="8"/>
      <c r="AQ246" s="8">
        <v>2</v>
      </c>
      <c r="AR246" s="8"/>
      <c r="AS246" s="8"/>
      <c r="AT246" s="8"/>
      <c r="AU246" s="8"/>
      <c r="AV246" s="8"/>
      <c r="AW246" s="8"/>
      <c r="AX246" s="8"/>
      <c r="AY246" s="8"/>
      <c r="AZ246" s="8">
        <v>2</v>
      </c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</row>
    <row r="247" spans="1:76" ht="16.5" customHeight="1" x14ac:dyDescent="0.3">
      <c r="A247" t="s">
        <v>724</v>
      </c>
      <c r="B247" t="s">
        <v>656</v>
      </c>
      <c r="C247" t="s">
        <v>725</v>
      </c>
      <c r="D247" t="s">
        <v>742</v>
      </c>
      <c r="E247" t="s">
        <v>735</v>
      </c>
      <c r="F247" t="s">
        <v>735</v>
      </c>
      <c r="G247" s="5">
        <v>1495252</v>
      </c>
      <c r="H247" s="7" t="s">
        <v>292</v>
      </c>
      <c r="I247" s="5" t="s">
        <v>253</v>
      </c>
      <c r="J247" s="5">
        <v>2</v>
      </c>
      <c r="K247" s="5" t="s">
        <v>102</v>
      </c>
      <c r="L247" s="5" t="s">
        <v>109</v>
      </c>
      <c r="M247" s="5" t="s">
        <v>94</v>
      </c>
      <c r="N247" s="5" t="s">
        <v>285</v>
      </c>
      <c r="O247" s="4"/>
      <c r="P247" s="24">
        <f t="shared" si="48"/>
        <v>19</v>
      </c>
      <c r="Q247" s="8">
        <f t="shared" si="49"/>
        <v>0</v>
      </c>
      <c r="R247" s="8">
        <f t="shared" si="50"/>
        <v>19</v>
      </c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>
        <v>1</v>
      </c>
      <c r="AK247" s="8"/>
      <c r="AL247" s="8"/>
      <c r="AM247" s="8"/>
      <c r="AN247" s="8"/>
      <c r="AO247" s="8"/>
      <c r="AP247" s="8"/>
      <c r="AQ247" s="8">
        <v>4</v>
      </c>
      <c r="AR247" s="8"/>
      <c r="AS247" s="8"/>
      <c r="AT247" s="8"/>
      <c r="AU247" s="8">
        <v>1</v>
      </c>
      <c r="AV247" s="8"/>
      <c r="AW247" s="8"/>
      <c r="AX247" s="8"/>
      <c r="AY247" s="8"/>
      <c r="AZ247" s="8">
        <v>7</v>
      </c>
      <c r="BA247" s="8"/>
      <c r="BB247" s="8"/>
      <c r="BC247" s="8"/>
      <c r="BD247" s="8">
        <v>2</v>
      </c>
      <c r="BE247" s="8">
        <v>1</v>
      </c>
      <c r="BF247" s="8"/>
      <c r="BG247" s="8"/>
      <c r="BH247" s="8">
        <v>3</v>
      </c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</row>
    <row r="248" spans="1:76" ht="16.5" customHeight="1" x14ac:dyDescent="0.3">
      <c r="G248" s="14">
        <v>1494659</v>
      </c>
      <c r="H248" s="15" t="s">
        <v>364</v>
      </c>
      <c r="I248" s="14" t="s">
        <v>253</v>
      </c>
      <c r="J248" s="14">
        <v>2</v>
      </c>
      <c r="K248" s="14" t="s">
        <v>254</v>
      </c>
      <c r="L248" s="14" t="s">
        <v>255</v>
      </c>
      <c r="M248" s="14" t="s">
        <v>94</v>
      </c>
      <c r="N248" s="14" t="s">
        <v>110</v>
      </c>
      <c r="O248" s="14" t="s">
        <v>119</v>
      </c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</row>
    <row r="249" spans="1:76" ht="16.5" customHeight="1" x14ac:dyDescent="0.3">
      <c r="A249" t="s">
        <v>724</v>
      </c>
      <c r="B249" t="s">
        <v>656</v>
      </c>
      <c r="C249" t="s">
        <v>725</v>
      </c>
      <c r="D249" t="s">
        <v>745</v>
      </c>
      <c r="E249" t="s">
        <v>745</v>
      </c>
      <c r="F249" t="s">
        <v>745</v>
      </c>
      <c r="G249" s="5">
        <v>1494659</v>
      </c>
      <c r="H249" s="38" t="s">
        <v>365</v>
      </c>
      <c r="I249" s="5" t="s">
        <v>253</v>
      </c>
      <c r="J249" s="5">
        <v>2</v>
      </c>
      <c r="K249" s="5" t="s">
        <v>254</v>
      </c>
      <c r="L249" s="5" t="s">
        <v>255</v>
      </c>
      <c r="M249" s="5" t="s">
        <v>94</v>
      </c>
      <c r="N249" s="5" t="s">
        <v>110</v>
      </c>
      <c r="O249" s="5" t="s">
        <v>119</v>
      </c>
      <c r="P249" s="24">
        <f t="shared" ref="P249:P256" si="51">SUM(Q249,R249)</f>
        <v>1</v>
      </c>
      <c r="Q249" s="8">
        <f t="shared" ref="Q249:Q256" si="52">S249</f>
        <v>0</v>
      </c>
      <c r="R249" s="8">
        <f t="shared" ref="R249:R256" si="53">SUM(T249:BX249)</f>
        <v>1</v>
      </c>
      <c r="S249" s="8"/>
      <c r="T249" s="8"/>
      <c r="U249" s="8"/>
      <c r="V249" s="8"/>
      <c r="W249" s="8"/>
      <c r="X249" s="8"/>
      <c r="Y249" s="8"/>
      <c r="Z249" s="8"/>
      <c r="AA249" s="8"/>
      <c r="AB249" s="8">
        <v>1</v>
      </c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</row>
    <row r="250" spans="1:76" ht="16.5" customHeight="1" x14ac:dyDescent="0.3">
      <c r="A250" t="s">
        <v>724</v>
      </c>
      <c r="B250" t="s">
        <v>656</v>
      </c>
      <c r="C250" t="s">
        <v>725</v>
      </c>
      <c r="D250" t="s">
        <v>745</v>
      </c>
      <c r="E250" t="s">
        <v>746</v>
      </c>
      <c r="F250" t="s">
        <v>746</v>
      </c>
      <c r="G250" s="5">
        <v>1494660</v>
      </c>
      <c r="H250" s="7" t="s">
        <v>366</v>
      </c>
      <c r="I250" s="5" t="s">
        <v>253</v>
      </c>
      <c r="J250" s="5">
        <v>2</v>
      </c>
      <c r="K250" s="5" t="s">
        <v>102</v>
      </c>
      <c r="L250" s="5" t="s">
        <v>109</v>
      </c>
      <c r="M250" s="5" t="s">
        <v>94</v>
      </c>
      <c r="N250" s="5" t="s">
        <v>283</v>
      </c>
      <c r="O250" s="4"/>
      <c r="P250" s="24">
        <f t="shared" si="51"/>
        <v>26</v>
      </c>
      <c r="Q250" s="8">
        <f t="shared" si="52"/>
        <v>0</v>
      </c>
      <c r="R250" s="8">
        <f t="shared" si="53"/>
        <v>26</v>
      </c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>
        <v>1</v>
      </c>
      <c r="AK250" s="8"/>
      <c r="AL250" s="8"/>
      <c r="AM250" s="8"/>
      <c r="AN250" s="8"/>
      <c r="AO250" s="8"/>
      <c r="AP250" s="8">
        <v>3</v>
      </c>
      <c r="AQ250" s="8"/>
      <c r="AR250" s="8"/>
      <c r="AS250" s="8"/>
      <c r="AT250" s="8"/>
      <c r="AU250" s="8"/>
      <c r="AV250" s="8"/>
      <c r="AW250" s="8">
        <v>1</v>
      </c>
      <c r="AX250" s="8"/>
      <c r="AY250" s="8">
        <v>4</v>
      </c>
      <c r="AZ250" s="8"/>
      <c r="BA250" s="8"/>
      <c r="BB250" s="8"/>
      <c r="BC250" s="8">
        <v>2</v>
      </c>
      <c r="BD250" s="8"/>
      <c r="BE250" s="8"/>
      <c r="BF250" s="8"/>
      <c r="BG250" s="8"/>
      <c r="BH250" s="8"/>
      <c r="BI250" s="8"/>
      <c r="BJ250" s="8">
        <v>4</v>
      </c>
      <c r="BK250" s="8">
        <v>1</v>
      </c>
      <c r="BL250" s="8">
        <v>2</v>
      </c>
      <c r="BM250" s="8"/>
      <c r="BN250" s="8"/>
      <c r="BO250" s="8"/>
      <c r="BP250" s="8"/>
      <c r="BQ250" s="8">
        <v>5</v>
      </c>
      <c r="BR250" s="8"/>
      <c r="BS250" s="8">
        <v>3</v>
      </c>
      <c r="BT250" s="8"/>
      <c r="BU250" s="8"/>
      <c r="BV250" s="8"/>
      <c r="BW250" s="8"/>
      <c r="BX250" s="8"/>
    </row>
    <row r="251" spans="1:76" ht="16.5" customHeight="1" x14ac:dyDescent="0.3">
      <c r="A251" t="s">
        <v>724</v>
      </c>
      <c r="B251" t="s">
        <v>656</v>
      </c>
      <c r="C251" t="s">
        <v>725</v>
      </c>
      <c r="D251" t="s">
        <v>745</v>
      </c>
      <c r="E251" t="s">
        <v>665</v>
      </c>
      <c r="F251" t="s">
        <v>727</v>
      </c>
      <c r="G251" s="5">
        <v>1494833</v>
      </c>
      <c r="H251" s="7" t="s">
        <v>284</v>
      </c>
      <c r="I251" s="5" t="s">
        <v>253</v>
      </c>
      <c r="J251" s="5">
        <v>2</v>
      </c>
      <c r="K251" s="5" t="s">
        <v>102</v>
      </c>
      <c r="L251" s="5" t="s">
        <v>109</v>
      </c>
      <c r="M251" s="5" t="s">
        <v>94</v>
      </c>
      <c r="N251" s="5" t="s">
        <v>285</v>
      </c>
      <c r="O251" s="4"/>
      <c r="P251" s="24">
        <f t="shared" si="51"/>
        <v>8</v>
      </c>
      <c r="Q251" s="8">
        <f t="shared" si="52"/>
        <v>0</v>
      </c>
      <c r="R251" s="8">
        <f t="shared" si="53"/>
        <v>8</v>
      </c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>
        <v>1</v>
      </c>
      <c r="AK251" s="8"/>
      <c r="AL251" s="8"/>
      <c r="AM251" s="8"/>
      <c r="AN251" s="8"/>
      <c r="AO251" s="8">
        <v>1</v>
      </c>
      <c r="AP251" s="8"/>
      <c r="AQ251" s="8"/>
      <c r="AR251" s="8"/>
      <c r="AS251" s="8"/>
      <c r="AT251" s="8"/>
      <c r="AU251" s="8"/>
      <c r="AV251" s="8"/>
      <c r="AW251" s="8"/>
      <c r="AX251" s="8"/>
      <c r="AY251" s="8">
        <v>2</v>
      </c>
      <c r="AZ251" s="8"/>
      <c r="BA251" s="8"/>
      <c r="BB251" s="8"/>
      <c r="BC251" s="8"/>
      <c r="BD251" s="8"/>
      <c r="BE251" s="8"/>
      <c r="BF251" s="8"/>
      <c r="BG251" s="8"/>
      <c r="BH251" s="8">
        <v>1</v>
      </c>
      <c r="BI251" s="8"/>
      <c r="BJ251" s="8"/>
      <c r="BK251" s="8"/>
      <c r="BL251" s="8"/>
      <c r="BM251" s="8"/>
      <c r="BN251" s="8"/>
      <c r="BO251" s="8"/>
      <c r="BP251" s="8">
        <v>2</v>
      </c>
      <c r="BQ251" s="8">
        <v>1</v>
      </c>
      <c r="BR251" s="8"/>
      <c r="BS251" s="8"/>
      <c r="BT251" s="8"/>
      <c r="BU251" s="8"/>
      <c r="BV251" s="8"/>
      <c r="BW251" s="8"/>
      <c r="BX251" s="8"/>
    </row>
    <row r="252" spans="1:76" ht="16.5" customHeight="1" x14ac:dyDescent="0.3">
      <c r="A252" t="s">
        <v>724</v>
      </c>
      <c r="B252" t="s">
        <v>656</v>
      </c>
      <c r="C252" t="s">
        <v>725</v>
      </c>
      <c r="D252" t="s">
        <v>745</v>
      </c>
      <c r="E252" t="s">
        <v>728</v>
      </c>
      <c r="F252" t="s">
        <v>728</v>
      </c>
      <c r="G252" s="5">
        <v>1494834</v>
      </c>
      <c r="H252" s="7" t="s">
        <v>286</v>
      </c>
      <c r="I252" s="5" t="s">
        <v>253</v>
      </c>
      <c r="J252" s="5">
        <v>2</v>
      </c>
      <c r="K252" s="5" t="s">
        <v>102</v>
      </c>
      <c r="L252" s="5" t="s">
        <v>109</v>
      </c>
      <c r="M252" s="5" t="s">
        <v>94</v>
      </c>
      <c r="N252" s="5" t="s">
        <v>285</v>
      </c>
      <c r="O252" s="4"/>
      <c r="P252" s="24">
        <f t="shared" si="51"/>
        <v>9</v>
      </c>
      <c r="Q252" s="8">
        <f t="shared" si="52"/>
        <v>0</v>
      </c>
      <c r="R252" s="8">
        <f t="shared" si="53"/>
        <v>9</v>
      </c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>
        <v>1</v>
      </c>
      <c r="AK252" s="8"/>
      <c r="AL252" s="8"/>
      <c r="AM252" s="8"/>
      <c r="AN252" s="8">
        <v>1</v>
      </c>
      <c r="AO252" s="8"/>
      <c r="AP252" s="8"/>
      <c r="AQ252" s="8"/>
      <c r="AR252" s="8"/>
      <c r="AS252" s="8"/>
      <c r="AT252" s="8"/>
      <c r="AU252" s="8"/>
      <c r="AV252" s="8"/>
      <c r="AW252" s="8">
        <v>1</v>
      </c>
      <c r="AX252" s="8"/>
      <c r="AY252" s="8"/>
      <c r="AZ252" s="8"/>
      <c r="BA252" s="8"/>
      <c r="BB252" s="8"/>
      <c r="BC252" s="8"/>
      <c r="BD252" s="8"/>
      <c r="BE252" s="8"/>
      <c r="BF252" s="8">
        <v>1</v>
      </c>
      <c r="BG252" s="8"/>
      <c r="BH252" s="8">
        <v>2</v>
      </c>
      <c r="BI252" s="8"/>
      <c r="BJ252" s="8">
        <v>1</v>
      </c>
      <c r="BK252" s="8"/>
      <c r="BL252" s="8"/>
      <c r="BM252" s="8"/>
      <c r="BN252" s="8"/>
      <c r="BO252" s="8"/>
      <c r="BP252" s="8"/>
      <c r="BQ252" s="8"/>
      <c r="BR252" s="8"/>
      <c r="BS252" s="8"/>
      <c r="BT252" s="8">
        <v>1</v>
      </c>
      <c r="BU252" s="8"/>
      <c r="BV252" s="8">
        <v>1</v>
      </c>
      <c r="BW252" s="8"/>
      <c r="BX252" s="8"/>
    </row>
    <row r="253" spans="1:76" ht="16.5" customHeight="1" x14ac:dyDescent="0.3">
      <c r="A253" t="s">
        <v>724</v>
      </c>
      <c r="B253" t="s">
        <v>656</v>
      </c>
      <c r="C253" t="s">
        <v>725</v>
      </c>
      <c r="D253" t="s">
        <v>745</v>
      </c>
      <c r="E253" t="s">
        <v>747</v>
      </c>
      <c r="F253" t="s">
        <v>747</v>
      </c>
      <c r="G253" s="5">
        <v>1495101</v>
      </c>
      <c r="H253" s="7" t="s">
        <v>367</v>
      </c>
      <c r="I253" s="5" t="s">
        <v>253</v>
      </c>
      <c r="J253" s="5">
        <v>2</v>
      </c>
      <c r="K253" s="5" t="s">
        <v>102</v>
      </c>
      <c r="L253" s="5" t="s">
        <v>109</v>
      </c>
      <c r="M253" s="5" t="s">
        <v>94</v>
      </c>
      <c r="N253" s="5" t="s">
        <v>285</v>
      </c>
      <c r="O253" s="4"/>
      <c r="P253" s="24">
        <f t="shared" si="51"/>
        <v>18</v>
      </c>
      <c r="Q253" s="8">
        <f t="shared" si="52"/>
        <v>0</v>
      </c>
      <c r="R253" s="8">
        <f t="shared" si="53"/>
        <v>18</v>
      </c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>
        <v>1</v>
      </c>
      <c r="AJ253" s="8"/>
      <c r="AK253" s="8"/>
      <c r="AL253" s="8"/>
      <c r="AM253" s="8"/>
      <c r="AN253" s="8">
        <v>7</v>
      </c>
      <c r="AO253" s="8"/>
      <c r="AP253" s="8"/>
      <c r="AQ253" s="8"/>
      <c r="AR253" s="8"/>
      <c r="AS253" s="8"/>
      <c r="AT253" s="8"/>
      <c r="AU253" s="8"/>
      <c r="AV253" s="8"/>
      <c r="AW253" s="8">
        <v>7</v>
      </c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>
        <v>2</v>
      </c>
      <c r="BI253" s="8"/>
      <c r="BJ253" s="8"/>
      <c r="BK253" s="8"/>
      <c r="BL253" s="8"/>
      <c r="BM253" s="8"/>
      <c r="BN253" s="8"/>
      <c r="BO253" s="8">
        <v>1</v>
      </c>
      <c r="BP253" s="8"/>
      <c r="BQ253" s="8"/>
      <c r="BR253" s="8"/>
      <c r="BS253" s="8"/>
      <c r="BT253" s="8"/>
      <c r="BU253" s="8"/>
      <c r="BV253" s="8"/>
      <c r="BW253" s="8"/>
      <c r="BX253" s="8"/>
    </row>
    <row r="254" spans="1:76" ht="16.5" customHeight="1" x14ac:dyDescent="0.3">
      <c r="A254" t="s">
        <v>724</v>
      </c>
      <c r="B254" t="s">
        <v>656</v>
      </c>
      <c r="C254" t="s">
        <v>725</v>
      </c>
      <c r="D254" t="s">
        <v>745</v>
      </c>
      <c r="E254" t="s">
        <v>741</v>
      </c>
      <c r="F254" t="s">
        <v>741</v>
      </c>
      <c r="G254" s="5">
        <v>1495138</v>
      </c>
      <c r="H254" s="7" t="s">
        <v>291</v>
      </c>
      <c r="I254" s="5" t="s">
        <v>253</v>
      </c>
      <c r="J254" s="5">
        <v>2</v>
      </c>
      <c r="K254" s="5" t="s">
        <v>102</v>
      </c>
      <c r="L254" s="5" t="s">
        <v>109</v>
      </c>
      <c r="M254" s="5" t="s">
        <v>94</v>
      </c>
      <c r="N254" s="5" t="s">
        <v>285</v>
      </c>
      <c r="O254" s="4"/>
      <c r="P254" s="24">
        <f t="shared" si="51"/>
        <v>10</v>
      </c>
      <c r="Q254" s="8">
        <f t="shared" si="52"/>
        <v>0</v>
      </c>
      <c r="R254" s="8">
        <f t="shared" si="53"/>
        <v>10</v>
      </c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>
        <v>1</v>
      </c>
      <c r="AJ254" s="8"/>
      <c r="AK254" s="8"/>
      <c r="AL254" s="8"/>
      <c r="AM254" s="8"/>
      <c r="AN254" s="8">
        <v>3</v>
      </c>
      <c r="AO254" s="8"/>
      <c r="AP254" s="8"/>
      <c r="AQ254" s="8"/>
      <c r="AR254" s="8"/>
      <c r="AS254" s="8"/>
      <c r="AT254" s="8"/>
      <c r="AU254" s="8"/>
      <c r="AV254" s="8"/>
      <c r="AW254" s="8">
        <v>4</v>
      </c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>
        <v>2</v>
      </c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</row>
    <row r="255" spans="1:76" ht="16.5" customHeight="1" x14ac:dyDescent="0.3">
      <c r="A255" t="s">
        <v>724</v>
      </c>
      <c r="B255" t="s">
        <v>656</v>
      </c>
      <c r="C255" t="s">
        <v>725</v>
      </c>
      <c r="D255" t="s">
        <v>745</v>
      </c>
      <c r="E255" t="s">
        <v>734</v>
      </c>
      <c r="F255" t="s">
        <v>734</v>
      </c>
      <c r="G255" s="5">
        <v>1495174</v>
      </c>
      <c r="H255" s="7" t="s">
        <v>297</v>
      </c>
      <c r="I255" s="5" t="s">
        <v>253</v>
      </c>
      <c r="J255" s="5">
        <v>2</v>
      </c>
      <c r="K255" s="5" t="s">
        <v>102</v>
      </c>
      <c r="L255" s="5" t="s">
        <v>109</v>
      </c>
      <c r="M255" s="5" t="s">
        <v>94</v>
      </c>
      <c r="N255" s="5" t="s">
        <v>285</v>
      </c>
      <c r="O255" s="4"/>
      <c r="P255" s="24">
        <f t="shared" si="51"/>
        <v>9</v>
      </c>
      <c r="Q255" s="8">
        <f t="shared" si="52"/>
        <v>0</v>
      </c>
      <c r="R255" s="8">
        <f t="shared" si="53"/>
        <v>9</v>
      </c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>
        <v>1</v>
      </c>
      <c r="AL255" s="8"/>
      <c r="AM255" s="8"/>
      <c r="AN255" s="8"/>
      <c r="AO255" s="8"/>
      <c r="AP255" s="8"/>
      <c r="AQ255" s="8">
        <v>4</v>
      </c>
      <c r="AR255" s="8"/>
      <c r="AS255" s="8"/>
      <c r="AT255" s="8"/>
      <c r="AU255" s="8"/>
      <c r="AV255" s="8"/>
      <c r="AW255" s="8"/>
      <c r="AX255" s="8"/>
      <c r="AY255" s="8"/>
      <c r="AZ255" s="8">
        <v>4</v>
      </c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</row>
    <row r="256" spans="1:76" ht="16.5" customHeight="1" x14ac:dyDescent="0.3">
      <c r="A256" t="s">
        <v>724</v>
      </c>
      <c r="B256" t="s">
        <v>656</v>
      </c>
      <c r="C256" t="s">
        <v>725</v>
      </c>
      <c r="D256" t="s">
        <v>745</v>
      </c>
      <c r="E256" t="s">
        <v>735</v>
      </c>
      <c r="F256" t="s">
        <v>735</v>
      </c>
      <c r="G256" s="5">
        <v>1495205</v>
      </c>
      <c r="H256" s="7" t="s">
        <v>292</v>
      </c>
      <c r="I256" s="5" t="s">
        <v>253</v>
      </c>
      <c r="J256" s="5">
        <v>2</v>
      </c>
      <c r="K256" s="5" t="s">
        <v>102</v>
      </c>
      <c r="L256" s="5" t="s">
        <v>109</v>
      </c>
      <c r="M256" s="5" t="s">
        <v>94</v>
      </c>
      <c r="N256" s="5" t="s">
        <v>285</v>
      </c>
      <c r="O256" s="4"/>
      <c r="P256" s="24">
        <f t="shared" si="51"/>
        <v>26</v>
      </c>
      <c r="Q256" s="8">
        <f t="shared" si="52"/>
        <v>0</v>
      </c>
      <c r="R256" s="8">
        <f t="shared" si="53"/>
        <v>26</v>
      </c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>
        <v>1</v>
      </c>
      <c r="AK256" s="8"/>
      <c r="AL256" s="8"/>
      <c r="AM256" s="8"/>
      <c r="AN256" s="8"/>
      <c r="AO256" s="8"/>
      <c r="AP256" s="8"/>
      <c r="AQ256" s="8">
        <v>8</v>
      </c>
      <c r="AR256" s="8"/>
      <c r="AS256" s="8"/>
      <c r="AT256" s="8"/>
      <c r="AU256" s="8">
        <v>2</v>
      </c>
      <c r="AV256" s="8">
        <v>1</v>
      </c>
      <c r="AW256" s="8"/>
      <c r="AX256" s="8"/>
      <c r="AY256" s="8"/>
      <c r="AZ256" s="8">
        <v>10</v>
      </c>
      <c r="BA256" s="8"/>
      <c r="BB256" s="8"/>
      <c r="BC256" s="8"/>
      <c r="BD256" s="8">
        <v>2</v>
      </c>
      <c r="BE256" s="8"/>
      <c r="BF256" s="8"/>
      <c r="BG256" s="8"/>
      <c r="BH256" s="8">
        <v>2</v>
      </c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</row>
    <row r="257" spans="1:76" ht="16.5" customHeight="1" x14ac:dyDescent="0.3">
      <c r="G257" s="14">
        <v>1494557</v>
      </c>
      <c r="H257" s="15" t="s">
        <v>368</v>
      </c>
      <c r="I257" s="14" t="s">
        <v>253</v>
      </c>
      <c r="J257" s="14">
        <v>2</v>
      </c>
      <c r="K257" s="14" t="s">
        <v>254</v>
      </c>
      <c r="L257" s="14" t="s">
        <v>255</v>
      </c>
      <c r="M257" s="14" t="s">
        <v>94</v>
      </c>
      <c r="N257" s="14" t="s">
        <v>261</v>
      </c>
      <c r="O257" s="14" t="s">
        <v>268</v>
      </c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</row>
    <row r="258" spans="1:76" ht="16.5" customHeight="1" x14ac:dyDescent="0.3">
      <c r="A258" t="s">
        <v>724</v>
      </c>
      <c r="B258" t="s">
        <v>656</v>
      </c>
      <c r="C258" t="s">
        <v>725</v>
      </c>
      <c r="D258" t="s">
        <v>748</v>
      </c>
      <c r="E258" t="s">
        <v>748</v>
      </c>
      <c r="F258" t="s">
        <v>748</v>
      </c>
      <c r="G258" s="5">
        <v>1494557</v>
      </c>
      <c r="H258" s="38" t="s">
        <v>369</v>
      </c>
      <c r="I258" s="5" t="s">
        <v>253</v>
      </c>
      <c r="J258" s="5">
        <v>2</v>
      </c>
      <c r="K258" s="5" t="s">
        <v>254</v>
      </c>
      <c r="L258" s="5" t="s">
        <v>255</v>
      </c>
      <c r="M258" s="5" t="s">
        <v>94</v>
      </c>
      <c r="N258" s="5" t="s">
        <v>261</v>
      </c>
      <c r="O258" s="5" t="s">
        <v>268</v>
      </c>
      <c r="P258" s="24">
        <f t="shared" ref="P258:P265" si="54">SUM(Q258,R258)</f>
        <v>1</v>
      </c>
      <c r="Q258" s="8">
        <f t="shared" ref="Q258:Q265" si="55">S258</f>
        <v>0</v>
      </c>
      <c r="R258" s="8">
        <f t="shared" ref="R258:R265" si="56">SUM(T258:BX258)</f>
        <v>1</v>
      </c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>
        <v>1</v>
      </c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</row>
    <row r="259" spans="1:76" ht="16.5" customHeight="1" x14ac:dyDescent="0.3">
      <c r="A259" t="s">
        <v>724</v>
      </c>
      <c r="B259" t="s">
        <v>656</v>
      </c>
      <c r="C259" t="s">
        <v>725</v>
      </c>
      <c r="D259" t="s">
        <v>748</v>
      </c>
      <c r="E259" t="s">
        <v>749</v>
      </c>
      <c r="F259" t="s">
        <v>749</v>
      </c>
      <c r="G259" s="5">
        <v>1494558</v>
      </c>
      <c r="H259" s="7" t="s">
        <v>370</v>
      </c>
      <c r="I259" s="5" t="s">
        <v>253</v>
      </c>
      <c r="J259" s="5">
        <v>2</v>
      </c>
      <c r="K259" s="5" t="s">
        <v>102</v>
      </c>
      <c r="L259" s="5" t="s">
        <v>109</v>
      </c>
      <c r="M259" s="5" t="s">
        <v>94</v>
      </c>
      <c r="N259" s="5" t="s">
        <v>283</v>
      </c>
      <c r="O259" s="4"/>
      <c r="P259" s="24">
        <f t="shared" si="54"/>
        <v>17</v>
      </c>
      <c r="Q259" s="8">
        <f t="shared" si="55"/>
        <v>0</v>
      </c>
      <c r="R259" s="8">
        <f t="shared" si="56"/>
        <v>17</v>
      </c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>
        <v>1</v>
      </c>
      <c r="AK259" s="8"/>
      <c r="AL259" s="8"/>
      <c r="AM259" s="8"/>
      <c r="AN259" s="8"/>
      <c r="AO259" s="8"/>
      <c r="AP259" s="8">
        <v>2</v>
      </c>
      <c r="AQ259" s="8"/>
      <c r="AR259" s="8"/>
      <c r="AS259" s="8"/>
      <c r="AT259" s="8"/>
      <c r="AU259" s="8"/>
      <c r="AV259" s="8"/>
      <c r="AW259" s="8">
        <v>1</v>
      </c>
      <c r="AX259" s="8"/>
      <c r="AY259" s="8">
        <v>2</v>
      </c>
      <c r="AZ259" s="8"/>
      <c r="BA259" s="8"/>
      <c r="BB259" s="8"/>
      <c r="BC259" s="8"/>
      <c r="BD259" s="8"/>
      <c r="BE259" s="8"/>
      <c r="BF259" s="8"/>
      <c r="BG259" s="8"/>
      <c r="BH259" s="8">
        <v>1</v>
      </c>
      <c r="BI259" s="8"/>
      <c r="BJ259" s="8">
        <v>2</v>
      </c>
      <c r="BK259" s="8"/>
      <c r="BL259" s="8">
        <v>1</v>
      </c>
      <c r="BM259" s="8"/>
      <c r="BN259" s="8"/>
      <c r="BO259" s="8"/>
      <c r="BP259" s="8"/>
      <c r="BQ259" s="8">
        <v>5</v>
      </c>
      <c r="BR259" s="8"/>
      <c r="BS259" s="8">
        <v>2</v>
      </c>
      <c r="BT259" s="8"/>
      <c r="BU259" s="8"/>
      <c r="BV259" s="8"/>
      <c r="BW259" s="8"/>
      <c r="BX259" s="8"/>
    </row>
    <row r="260" spans="1:76" ht="16.5" customHeight="1" x14ac:dyDescent="0.3">
      <c r="A260" t="s">
        <v>724</v>
      </c>
      <c r="B260" t="s">
        <v>656</v>
      </c>
      <c r="C260" t="s">
        <v>725</v>
      </c>
      <c r="D260" t="s">
        <v>748</v>
      </c>
      <c r="E260" t="s">
        <v>750</v>
      </c>
      <c r="F260" t="s">
        <v>750</v>
      </c>
      <c r="G260" s="5">
        <v>1494559</v>
      </c>
      <c r="H260" s="7" t="s">
        <v>371</v>
      </c>
      <c r="I260" s="5" t="s">
        <v>253</v>
      </c>
      <c r="J260" s="5">
        <v>2</v>
      </c>
      <c r="K260" s="5" t="s">
        <v>102</v>
      </c>
      <c r="L260" s="5" t="s">
        <v>109</v>
      </c>
      <c r="M260" s="5" t="s">
        <v>94</v>
      </c>
      <c r="N260" s="5" t="s">
        <v>283</v>
      </c>
      <c r="O260" s="4"/>
      <c r="P260" s="24">
        <f t="shared" si="54"/>
        <v>9</v>
      </c>
      <c r="Q260" s="8">
        <f t="shared" si="55"/>
        <v>0</v>
      </c>
      <c r="R260" s="8">
        <f t="shared" si="56"/>
        <v>9</v>
      </c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>
        <v>1</v>
      </c>
      <c r="AQ260" s="8"/>
      <c r="AR260" s="8"/>
      <c r="AS260" s="8"/>
      <c r="AT260" s="8"/>
      <c r="AU260" s="8"/>
      <c r="AV260" s="8"/>
      <c r="AW260" s="8"/>
      <c r="AX260" s="8"/>
      <c r="AY260" s="8">
        <v>2</v>
      </c>
      <c r="AZ260" s="8"/>
      <c r="BA260" s="8"/>
      <c r="BB260" s="8"/>
      <c r="BC260" s="8"/>
      <c r="BD260" s="8"/>
      <c r="BE260" s="8"/>
      <c r="BF260" s="8"/>
      <c r="BG260" s="8"/>
      <c r="BH260" s="8">
        <v>1</v>
      </c>
      <c r="BI260" s="8"/>
      <c r="BJ260" s="8">
        <v>2</v>
      </c>
      <c r="BK260" s="8"/>
      <c r="BL260" s="8"/>
      <c r="BM260" s="8"/>
      <c r="BN260" s="8"/>
      <c r="BO260" s="8"/>
      <c r="BP260" s="8"/>
      <c r="BQ260" s="8">
        <v>3</v>
      </c>
      <c r="BR260" s="8"/>
      <c r="BS260" s="8"/>
      <c r="BT260" s="8"/>
      <c r="BU260" s="8"/>
      <c r="BV260" s="8"/>
      <c r="BW260" s="8"/>
      <c r="BX260" s="8"/>
    </row>
    <row r="261" spans="1:76" ht="16.5" customHeight="1" x14ac:dyDescent="0.3">
      <c r="A261" t="s">
        <v>724</v>
      </c>
      <c r="B261" t="s">
        <v>656</v>
      </c>
      <c r="C261" t="s">
        <v>725</v>
      </c>
      <c r="D261" t="s">
        <v>748</v>
      </c>
      <c r="E261" t="s">
        <v>665</v>
      </c>
      <c r="F261" t="s">
        <v>727</v>
      </c>
      <c r="G261" s="5">
        <v>1494835</v>
      </c>
      <c r="H261" s="7" t="s">
        <v>284</v>
      </c>
      <c r="I261" s="5" t="s">
        <v>253</v>
      </c>
      <c r="J261" s="5">
        <v>2</v>
      </c>
      <c r="K261" s="5" t="s">
        <v>102</v>
      </c>
      <c r="L261" s="5" t="s">
        <v>109</v>
      </c>
      <c r="M261" s="5" t="s">
        <v>94</v>
      </c>
      <c r="N261" s="5" t="s">
        <v>285</v>
      </c>
      <c r="O261" s="4"/>
      <c r="P261" s="24">
        <f t="shared" si="54"/>
        <v>9</v>
      </c>
      <c r="Q261" s="8">
        <f t="shared" si="55"/>
        <v>0</v>
      </c>
      <c r="R261" s="8">
        <f t="shared" si="56"/>
        <v>9</v>
      </c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>
        <v>1</v>
      </c>
      <c r="AK261" s="8"/>
      <c r="AL261" s="8"/>
      <c r="AM261" s="8"/>
      <c r="AN261" s="8">
        <v>1</v>
      </c>
      <c r="AO261" s="8"/>
      <c r="AP261" s="8"/>
      <c r="AQ261" s="8"/>
      <c r="AR261" s="8"/>
      <c r="AS261" s="8"/>
      <c r="AT261" s="8"/>
      <c r="AU261" s="8"/>
      <c r="AV261" s="8"/>
      <c r="AW261" s="8">
        <v>2</v>
      </c>
      <c r="AX261" s="8"/>
      <c r="AY261" s="8">
        <v>1</v>
      </c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>
        <v>1</v>
      </c>
      <c r="BK261" s="8"/>
      <c r="BL261" s="8"/>
      <c r="BM261" s="8"/>
      <c r="BN261" s="8"/>
      <c r="BO261" s="8"/>
      <c r="BP261" s="8"/>
      <c r="BQ261" s="8">
        <v>1</v>
      </c>
      <c r="BR261" s="8"/>
      <c r="BS261" s="8"/>
      <c r="BT261" s="8"/>
      <c r="BU261" s="8">
        <v>1</v>
      </c>
      <c r="BV261" s="8">
        <v>1</v>
      </c>
      <c r="BW261" s="8"/>
      <c r="BX261" s="8"/>
    </row>
    <row r="262" spans="1:76" ht="16.5" customHeight="1" x14ac:dyDescent="0.3">
      <c r="A262" t="s">
        <v>724</v>
      </c>
      <c r="B262" t="s">
        <v>656</v>
      </c>
      <c r="C262" t="s">
        <v>725</v>
      </c>
      <c r="D262" t="s">
        <v>748</v>
      </c>
      <c r="E262" t="s">
        <v>747</v>
      </c>
      <c r="F262" t="s">
        <v>747</v>
      </c>
      <c r="G262" s="5">
        <v>1495100</v>
      </c>
      <c r="H262" s="7" t="s">
        <v>367</v>
      </c>
      <c r="I262" s="5" t="s">
        <v>253</v>
      </c>
      <c r="J262" s="5">
        <v>2</v>
      </c>
      <c r="K262" s="5" t="s">
        <v>102</v>
      </c>
      <c r="L262" s="5" t="s">
        <v>109</v>
      </c>
      <c r="M262" s="5" t="s">
        <v>94</v>
      </c>
      <c r="N262" s="5" t="s">
        <v>285</v>
      </c>
      <c r="O262" s="4"/>
      <c r="P262" s="24">
        <f t="shared" si="54"/>
        <v>16</v>
      </c>
      <c r="Q262" s="8">
        <f t="shared" si="55"/>
        <v>0</v>
      </c>
      <c r="R262" s="8">
        <f t="shared" si="56"/>
        <v>16</v>
      </c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>
        <v>1</v>
      </c>
      <c r="AJ262" s="8"/>
      <c r="AK262" s="8"/>
      <c r="AL262" s="8"/>
      <c r="AM262" s="8"/>
      <c r="AN262" s="8">
        <v>6</v>
      </c>
      <c r="AO262" s="8"/>
      <c r="AP262" s="8"/>
      <c r="AQ262" s="8"/>
      <c r="AR262" s="8"/>
      <c r="AS262" s="8"/>
      <c r="AT262" s="8"/>
      <c r="AU262" s="8"/>
      <c r="AV262" s="8"/>
      <c r="AW262" s="8">
        <v>4</v>
      </c>
      <c r="AX262" s="8"/>
      <c r="AY262" s="8"/>
      <c r="AZ262" s="8">
        <v>2</v>
      </c>
      <c r="BA262" s="8"/>
      <c r="BB262" s="8"/>
      <c r="BC262" s="8"/>
      <c r="BD262" s="8"/>
      <c r="BE262" s="8"/>
      <c r="BF262" s="8"/>
      <c r="BG262" s="8"/>
      <c r="BH262" s="8">
        <v>2</v>
      </c>
      <c r="BI262" s="8"/>
      <c r="BJ262" s="8"/>
      <c r="BK262" s="8"/>
      <c r="BL262" s="8"/>
      <c r="BM262" s="8"/>
      <c r="BN262" s="8"/>
      <c r="BO262" s="8">
        <v>1</v>
      </c>
      <c r="BP262" s="8"/>
      <c r="BQ262" s="8"/>
      <c r="BR262" s="8"/>
      <c r="BS262" s="8"/>
      <c r="BT262" s="8"/>
      <c r="BU262" s="8"/>
      <c r="BV262" s="8"/>
      <c r="BW262" s="8"/>
      <c r="BX262" s="8"/>
    </row>
    <row r="263" spans="1:76" ht="16.5" customHeight="1" x14ac:dyDescent="0.3">
      <c r="A263" t="s">
        <v>724</v>
      </c>
      <c r="B263" t="s">
        <v>656</v>
      </c>
      <c r="C263" t="s">
        <v>725</v>
      </c>
      <c r="D263" t="s">
        <v>748</v>
      </c>
      <c r="E263" t="s">
        <v>741</v>
      </c>
      <c r="F263" t="s">
        <v>741</v>
      </c>
      <c r="G263" s="5">
        <v>1495137</v>
      </c>
      <c r="H263" s="7" t="s">
        <v>291</v>
      </c>
      <c r="I263" s="5" t="s">
        <v>253</v>
      </c>
      <c r="J263" s="5">
        <v>2</v>
      </c>
      <c r="K263" s="5" t="s">
        <v>102</v>
      </c>
      <c r="L263" s="5" t="s">
        <v>109</v>
      </c>
      <c r="M263" s="5" t="s">
        <v>94</v>
      </c>
      <c r="N263" s="5" t="s">
        <v>285</v>
      </c>
      <c r="O263" s="4"/>
      <c r="P263" s="24">
        <f t="shared" si="54"/>
        <v>10</v>
      </c>
      <c r="Q263" s="8">
        <f t="shared" si="55"/>
        <v>0</v>
      </c>
      <c r="R263" s="8">
        <f t="shared" si="56"/>
        <v>10</v>
      </c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>
        <v>1</v>
      </c>
      <c r="AJ263" s="8"/>
      <c r="AK263" s="8"/>
      <c r="AL263" s="8"/>
      <c r="AM263" s="8"/>
      <c r="AN263" s="8">
        <v>3</v>
      </c>
      <c r="AO263" s="8"/>
      <c r="AP263" s="8"/>
      <c r="AQ263" s="8"/>
      <c r="AR263" s="8"/>
      <c r="AS263" s="8"/>
      <c r="AT263" s="8"/>
      <c r="AU263" s="8"/>
      <c r="AV263" s="8"/>
      <c r="AW263" s="8">
        <v>4</v>
      </c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>
        <v>1</v>
      </c>
      <c r="BI263" s="8"/>
      <c r="BJ263" s="8"/>
      <c r="BK263" s="8"/>
      <c r="BL263" s="8"/>
      <c r="BM263" s="8"/>
      <c r="BN263" s="8"/>
      <c r="BO263" s="8">
        <v>1</v>
      </c>
      <c r="BP263" s="8"/>
      <c r="BQ263" s="8"/>
      <c r="BR263" s="8"/>
      <c r="BS263" s="8"/>
      <c r="BT263" s="8"/>
      <c r="BU263" s="8"/>
      <c r="BV263" s="8"/>
      <c r="BW263" s="8"/>
      <c r="BX263" s="8"/>
    </row>
    <row r="264" spans="1:76" ht="16.5" customHeight="1" x14ac:dyDescent="0.3">
      <c r="A264" t="s">
        <v>724</v>
      </c>
      <c r="B264" t="s">
        <v>656</v>
      </c>
      <c r="C264" t="s">
        <v>725</v>
      </c>
      <c r="D264" t="s">
        <v>748</v>
      </c>
      <c r="E264" t="s">
        <v>734</v>
      </c>
      <c r="F264" t="s">
        <v>734</v>
      </c>
      <c r="G264" s="5">
        <v>1495173</v>
      </c>
      <c r="H264" s="7" t="s">
        <v>297</v>
      </c>
      <c r="I264" s="5" t="s">
        <v>253</v>
      </c>
      <c r="J264" s="5">
        <v>2</v>
      </c>
      <c r="K264" s="5" t="s">
        <v>102</v>
      </c>
      <c r="L264" s="5" t="s">
        <v>109</v>
      </c>
      <c r="M264" s="5" t="s">
        <v>94</v>
      </c>
      <c r="N264" s="5" t="s">
        <v>285</v>
      </c>
      <c r="O264" s="4"/>
      <c r="P264" s="24">
        <f t="shared" si="54"/>
        <v>5</v>
      </c>
      <c r="Q264" s="8">
        <f t="shared" si="55"/>
        <v>0</v>
      </c>
      <c r="R264" s="8">
        <f t="shared" si="56"/>
        <v>5</v>
      </c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>
        <v>1</v>
      </c>
      <c r="AL264" s="8"/>
      <c r="AM264" s="8"/>
      <c r="AN264" s="8"/>
      <c r="AO264" s="8"/>
      <c r="AP264" s="8"/>
      <c r="AQ264" s="8">
        <v>2</v>
      </c>
      <c r="AR264" s="8"/>
      <c r="AS264" s="8"/>
      <c r="AT264" s="8"/>
      <c r="AU264" s="8"/>
      <c r="AV264" s="8"/>
      <c r="AW264" s="8"/>
      <c r="AX264" s="8"/>
      <c r="AY264" s="8"/>
      <c r="AZ264" s="8">
        <v>2</v>
      </c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</row>
    <row r="265" spans="1:76" ht="16.5" customHeight="1" x14ac:dyDescent="0.3">
      <c r="A265" t="s">
        <v>724</v>
      </c>
      <c r="B265" t="s">
        <v>656</v>
      </c>
      <c r="C265" t="s">
        <v>725</v>
      </c>
      <c r="D265" t="s">
        <v>748</v>
      </c>
      <c r="E265" t="s">
        <v>735</v>
      </c>
      <c r="F265" t="s">
        <v>735</v>
      </c>
      <c r="G265" s="5">
        <v>1495204</v>
      </c>
      <c r="H265" s="7" t="s">
        <v>292</v>
      </c>
      <c r="I265" s="5" t="s">
        <v>253</v>
      </c>
      <c r="J265" s="5">
        <v>2</v>
      </c>
      <c r="K265" s="5" t="s">
        <v>102</v>
      </c>
      <c r="L265" s="5" t="s">
        <v>109</v>
      </c>
      <c r="M265" s="5" t="s">
        <v>94</v>
      </c>
      <c r="N265" s="5" t="s">
        <v>285</v>
      </c>
      <c r="O265" s="4"/>
      <c r="P265" s="24">
        <f t="shared" si="54"/>
        <v>13</v>
      </c>
      <c r="Q265" s="8">
        <f t="shared" si="55"/>
        <v>0</v>
      </c>
      <c r="R265" s="8">
        <f t="shared" si="56"/>
        <v>13</v>
      </c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>
        <v>1</v>
      </c>
      <c r="AK265" s="8"/>
      <c r="AL265" s="8"/>
      <c r="AM265" s="8"/>
      <c r="AN265" s="8"/>
      <c r="AO265" s="8"/>
      <c r="AP265" s="8"/>
      <c r="AQ265" s="8">
        <v>4</v>
      </c>
      <c r="AR265" s="8"/>
      <c r="AS265" s="8"/>
      <c r="AT265" s="8"/>
      <c r="AU265" s="8"/>
      <c r="AV265" s="8"/>
      <c r="AW265" s="8"/>
      <c r="AX265" s="8"/>
      <c r="AY265" s="8"/>
      <c r="AZ265" s="8">
        <v>4</v>
      </c>
      <c r="BA265" s="8"/>
      <c r="BB265" s="8"/>
      <c r="BC265" s="8"/>
      <c r="BD265" s="8">
        <v>2</v>
      </c>
      <c r="BE265" s="8">
        <v>1</v>
      </c>
      <c r="BF265" s="8"/>
      <c r="BG265" s="8"/>
      <c r="BH265" s="8">
        <v>1</v>
      </c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</row>
    <row r="266" spans="1:76" ht="16.5" customHeight="1" x14ac:dyDescent="0.3">
      <c r="G266" s="14">
        <v>1494562</v>
      </c>
      <c r="H266" s="15" t="s">
        <v>372</v>
      </c>
      <c r="I266" s="14" t="s">
        <v>253</v>
      </c>
      <c r="J266" s="14">
        <v>2</v>
      </c>
      <c r="K266" s="14" t="s">
        <v>254</v>
      </c>
      <c r="L266" s="14" t="s">
        <v>255</v>
      </c>
      <c r="M266" s="14" t="s">
        <v>94</v>
      </c>
      <c r="N266" s="14" t="s">
        <v>110</v>
      </c>
      <c r="O266" s="13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</row>
    <row r="267" spans="1:76" ht="16.5" customHeight="1" x14ac:dyDescent="0.3">
      <c r="A267" t="s">
        <v>724</v>
      </c>
      <c r="B267" t="s">
        <v>656</v>
      </c>
      <c r="C267" t="s">
        <v>725</v>
      </c>
      <c r="D267" t="s">
        <v>751</v>
      </c>
      <c r="E267" t="s">
        <v>751</v>
      </c>
      <c r="F267" t="s">
        <v>751</v>
      </c>
      <c r="G267" s="5">
        <v>1494562</v>
      </c>
      <c r="H267" s="38" t="s">
        <v>373</v>
      </c>
      <c r="I267" s="5" t="s">
        <v>253</v>
      </c>
      <c r="J267" s="5">
        <v>2</v>
      </c>
      <c r="K267" s="5" t="s">
        <v>254</v>
      </c>
      <c r="L267" s="5" t="s">
        <v>255</v>
      </c>
      <c r="M267" s="5" t="s">
        <v>94</v>
      </c>
      <c r="N267" s="5" t="s">
        <v>110</v>
      </c>
      <c r="O267" s="4"/>
      <c r="P267" s="24">
        <f t="shared" ref="P267:P272" si="57">SUM(Q267,R267)</f>
        <v>1</v>
      </c>
      <c r="Q267" s="8">
        <f t="shared" ref="Q267:Q272" si="58">S267</f>
        <v>0</v>
      </c>
      <c r="R267" s="8">
        <f t="shared" ref="R267:R272" si="59">SUM(T267:BX267)</f>
        <v>1</v>
      </c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>
        <v>1</v>
      </c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</row>
    <row r="268" spans="1:76" ht="16.5" customHeight="1" x14ac:dyDescent="0.3">
      <c r="A268" t="s">
        <v>724</v>
      </c>
      <c r="B268" t="s">
        <v>656</v>
      </c>
      <c r="C268" t="s">
        <v>725</v>
      </c>
      <c r="D268" t="s">
        <v>751</v>
      </c>
      <c r="E268" t="s">
        <v>752</v>
      </c>
      <c r="F268" t="s">
        <v>752</v>
      </c>
      <c r="G268" s="5">
        <v>1494563</v>
      </c>
      <c r="H268" s="7" t="s">
        <v>374</v>
      </c>
      <c r="I268" s="5" t="s">
        <v>253</v>
      </c>
      <c r="J268" s="5">
        <v>2</v>
      </c>
      <c r="K268" s="5" t="s">
        <v>102</v>
      </c>
      <c r="L268" s="5" t="s">
        <v>109</v>
      </c>
      <c r="M268" s="5" t="s">
        <v>94</v>
      </c>
      <c r="N268" s="5" t="s">
        <v>283</v>
      </c>
      <c r="O268" s="4"/>
      <c r="P268" s="24">
        <f t="shared" si="57"/>
        <v>23</v>
      </c>
      <c r="Q268" s="8">
        <f t="shared" si="58"/>
        <v>0</v>
      </c>
      <c r="R268" s="8">
        <f t="shared" si="59"/>
        <v>23</v>
      </c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>
        <v>1</v>
      </c>
      <c r="AK268" s="8"/>
      <c r="AL268" s="8"/>
      <c r="AM268" s="8"/>
      <c r="AN268" s="8">
        <v>2</v>
      </c>
      <c r="AO268" s="8"/>
      <c r="AP268" s="8">
        <v>1</v>
      </c>
      <c r="AQ268" s="8"/>
      <c r="AR268" s="8"/>
      <c r="AS268" s="8"/>
      <c r="AT268" s="8"/>
      <c r="AU268" s="8"/>
      <c r="AV268" s="8"/>
      <c r="AW268" s="8"/>
      <c r="AX268" s="8"/>
      <c r="AY268" s="8">
        <v>4</v>
      </c>
      <c r="AZ268" s="8"/>
      <c r="BA268" s="8"/>
      <c r="BB268" s="8"/>
      <c r="BC268" s="8"/>
      <c r="BD268" s="8"/>
      <c r="BE268" s="8"/>
      <c r="BF268" s="8"/>
      <c r="BG268" s="8"/>
      <c r="BH268" s="8">
        <v>2</v>
      </c>
      <c r="BI268" s="8"/>
      <c r="BJ268" s="8">
        <v>4</v>
      </c>
      <c r="BK268" s="8"/>
      <c r="BL268" s="8">
        <v>1</v>
      </c>
      <c r="BM268" s="8"/>
      <c r="BN268" s="8"/>
      <c r="BO268" s="8">
        <v>2</v>
      </c>
      <c r="BP268" s="8"/>
      <c r="BQ268" s="8">
        <v>4</v>
      </c>
      <c r="BR268" s="8"/>
      <c r="BS268" s="8">
        <v>2</v>
      </c>
      <c r="BT268" s="8"/>
      <c r="BU268" s="8"/>
      <c r="BV268" s="8"/>
      <c r="BW268" s="8"/>
      <c r="BX268" s="8"/>
    </row>
    <row r="269" spans="1:76" ht="16.5" customHeight="1" x14ac:dyDescent="0.3">
      <c r="A269" t="s">
        <v>724</v>
      </c>
      <c r="B269" t="s">
        <v>656</v>
      </c>
      <c r="C269" t="s">
        <v>725</v>
      </c>
      <c r="D269" t="s">
        <v>751</v>
      </c>
      <c r="E269" t="s">
        <v>665</v>
      </c>
      <c r="F269" t="s">
        <v>727</v>
      </c>
      <c r="G269" s="5">
        <v>1494838</v>
      </c>
      <c r="H269" s="7" t="s">
        <v>284</v>
      </c>
      <c r="I269" s="5" t="s">
        <v>253</v>
      </c>
      <c r="J269" s="5">
        <v>2</v>
      </c>
      <c r="K269" s="5" t="s">
        <v>102</v>
      </c>
      <c r="L269" s="5" t="s">
        <v>109</v>
      </c>
      <c r="M269" s="5" t="s">
        <v>94</v>
      </c>
      <c r="N269" s="5" t="s">
        <v>285</v>
      </c>
      <c r="O269" s="4"/>
      <c r="P269" s="24">
        <f t="shared" si="57"/>
        <v>9</v>
      </c>
      <c r="Q269" s="8">
        <f t="shared" si="58"/>
        <v>0</v>
      </c>
      <c r="R269" s="8">
        <f t="shared" si="59"/>
        <v>9</v>
      </c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>
        <v>1</v>
      </c>
      <c r="AK269" s="8"/>
      <c r="AL269" s="8"/>
      <c r="AM269" s="8"/>
      <c r="AN269" s="8">
        <v>1</v>
      </c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>
        <v>1</v>
      </c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>
        <v>1</v>
      </c>
      <c r="BK269" s="8"/>
      <c r="BL269" s="8">
        <v>1</v>
      </c>
      <c r="BM269" s="8"/>
      <c r="BN269" s="8"/>
      <c r="BO269" s="8"/>
      <c r="BP269" s="8"/>
      <c r="BQ269" s="8"/>
      <c r="BR269" s="8"/>
      <c r="BS269" s="8">
        <v>1</v>
      </c>
      <c r="BT269" s="8">
        <v>1</v>
      </c>
      <c r="BU269" s="8">
        <v>1</v>
      </c>
      <c r="BV269" s="8">
        <v>1</v>
      </c>
      <c r="BW269" s="8"/>
      <c r="BX269" s="8"/>
    </row>
    <row r="270" spans="1:76" ht="16.5" customHeight="1" x14ac:dyDescent="0.3">
      <c r="A270" t="s">
        <v>724</v>
      </c>
      <c r="B270" t="s">
        <v>656</v>
      </c>
      <c r="C270" t="s">
        <v>725</v>
      </c>
      <c r="D270" t="s">
        <v>751</v>
      </c>
      <c r="E270" t="s">
        <v>747</v>
      </c>
      <c r="F270" t="s">
        <v>747</v>
      </c>
      <c r="G270" s="5">
        <v>1495078</v>
      </c>
      <c r="H270" s="7" t="s">
        <v>367</v>
      </c>
      <c r="I270" s="5" t="s">
        <v>253</v>
      </c>
      <c r="J270" s="5">
        <v>2</v>
      </c>
      <c r="K270" s="5" t="s">
        <v>102</v>
      </c>
      <c r="L270" s="5" t="s">
        <v>109</v>
      </c>
      <c r="M270" s="5" t="s">
        <v>94</v>
      </c>
      <c r="N270" s="5" t="s">
        <v>285</v>
      </c>
      <c r="O270" s="4"/>
      <c r="P270" s="24">
        <f t="shared" si="57"/>
        <v>15</v>
      </c>
      <c r="Q270" s="8">
        <f t="shared" si="58"/>
        <v>0</v>
      </c>
      <c r="R270" s="8">
        <f t="shared" si="59"/>
        <v>15</v>
      </c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>
        <v>1</v>
      </c>
      <c r="AJ270" s="8"/>
      <c r="AK270" s="8"/>
      <c r="AL270" s="8"/>
      <c r="AM270" s="8"/>
      <c r="AN270" s="8">
        <v>5</v>
      </c>
      <c r="AO270" s="8"/>
      <c r="AP270" s="8"/>
      <c r="AQ270" s="8"/>
      <c r="AR270" s="8"/>
      <c r="AS270" s="8"/>
      <c r="AT270" s="8"/>
      <c r="AU270" s="8"/>
      <c r="AV270" s="8"/>
      <c r="AW270" s="8">
        <v>5</v>
      </c>
      <c r="AX270" s="8"/>
      <c r="AY270" s="8"/>
      <c r="AZ270" s="8">
        <v>1</v>
      </c>
      <c r="BA270" s="8"/>
      <c r="BB270" s="8"/>
      <c r="BC270" s="8"/>
      <c r="BD270" s="8"/>
      <c r="BE270" s="8"/>
      <c r="BF270" s="8"/>
      <c r="BG270" s="8"/>
      <c r="BH270" s="8">
        <v>2</v>
      </c>
      <c r="BI270" s="8"/>
      <c r="BJ270" s="8"/>
      <c r="BK270" s="8"/>
      <c r="BL270" s="8"/>
      <c r="BM270" s="8"/>
      <c r="BN270" s="8"/>
      <c r="BO270" s="8">
        <v>1</v>
      </c>
      <c r="BP270" s="8"/>
      <c r="BQ270" s="8"/>
      <c r="BR270" s="8"/>
      <c r="BS270" s="8"/>
      <c r="BT270" s="8"/>
      <c r="BU270" s="8"/>
      <c r="BV270" s="8"/>
      <c r="BW270" s="8"/>
      <c r="BX270" s="8"/>
    </row>
    <row r="271" spans="1:76" ht="16.5" customHeight="1" x14ac:dyDescent="0.3">
      <c r="A271" t="s">
        <v>724</v>
      </c>
      <c r="B271" t="s">
        <v>656</v>
      </c>
      <c r="C271" t="s">
        <v>725</v>
      </c>
      <c r="D271" t="s">
        <v>751</v>
      </c>
      <c r="E271" t="s">
        <v>741</v>
      </c>
      <c r="F271" t="s">
        <v>741</v>
      </c>
      <c r="G271" s="5">
        <v>1495104</v>
      </c>
      <c r="H271" s="7" t="s">
        <v>291</v>
      </c>
      <c r="I271" s="5" t="s">
        <v>253</v>
      </c>
      <c r="J271" s="5">
        <v>2</v>
      </c>
      <c r="K271" s="5" t="s">
        <v>102</v>
      </c>
      <c r="L271" s="5" t="s">
        <v>109</v>
      </c>
      <c r="M271" s="5" t="s">
        <v>94</v>
      </c>
      <c r="N271" s="5" t="s">
        <v>285</v>
      </c>
      <c r="O271" s="4"/>
      <c r="P271" s="24">
        <f t="shared" si="57"/>
        <v>10</v>
      </c>
      <c r="Q271" s="8">
        <f t="shared" si="58"/>
        <v>0</v>
      </c>
      <c r="R271" s="8">
        <f t="shared" si="59"/>
        <v>10</v>
      </c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>
        <v>1</v>
      </c>
      <c r="AJ271" s="8"/>
      <c r="AK271" s="8"/>
      <c r="AL271" s="8"/>
      <c r="AM271" s="8"/>
      <c r="AN271" s="8">
        <v>3</v>
      </c>
      <c r="AO271" s="8"/>
      <c r="AP271" s="8"/>
      <c r="AQ271" s="8"/>
      <c r="AR271" s="8"/>
      <c r="AS271" s="8"/>
      <c r="AT271" s="8"/>
      <c r="AU271" s="8"/>
      <c r="AV271" s="8"/>
      <c r="AW271" s="8">
        <v>4</v>
      </c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>
        <v>1</v>
      </c>
      <c r="BI271" s="8"/>
      <c r="BJ271" s="8"/>
      <c r="BK271" s="8"/>
      <c r="BL271" s="8"/>
      <c r="BM271" s="8"/>
      <c r="BN271" s="8"/>
      <c r="BO271" s="8">
        <v>1</v>
      </c>
      <c r="BP271" s="8"/>
      <c r="BQ271" s="8"/>
      <c r="BR271" s="8"/>
      <c r="BS271" s="8"/>
      <c r="BT271" s="8"/>
      <c r="BU271" s="8"/>
      <c r="BV271" s="8"/>
      <c r="BW271" s="8"/>
      <c r="BX271" s="8"/>
    </row>
    <row r="272" spans="1:76" ht="16.5" customHeight="1" x14ac:dyDescent="0.3">
      <c r="A272" t="s">
        <v>724</v>
      </c>
      <c r="B272" t="s">
        <v>656</v>
      </c>
      <c r="C272" t="s">
        <v>725</v>
      </c>
      <c r="D272" t="s">
        <v>751</v>
      </c>
      <c r="E272" t="s">
        <v>735</v>
      </c>
      <c r="F272" t="s">
        <v>735</v>
      </c>
      <c r="G272" s="5">
        <v>1495140</v>
      </c>
      <c r="H272" s="7" t="s">
        <v>292</v>
      </c>
      <c r="I272" s="5" t="s">
        <v>253</v>
      </c>
      <c r="J272" s="5">
        <v>2</v>
      </c>
      <c r="K272" s="5" t="s">
        <v>102</v>
      </c>
      <c r="L272" s="5" t="s">
        <v>109</v>
      </c>
      <c r="M272" s="5" t="s">
        <v>94</v>
      </c>
      <c r="N272" s="5" t="s">
        <v>285</v>
      </c>
      <c r="O272" s="4"/>
      <c r="P272" s="24">
        <f t="shared" si="57"/>
        <v>12</v>
      </c>
      <c r="Q272" s="8">
        <f t="shared" si="58"/>
        <v>0</v>
      </c>
      <c r="R272" s="8">
        <f t="shared" si="59"/>
        <v>12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>
        <v>1</v>
      </c>
      <c r="AK272" s="8"/>
      <c r="AL272" s="8"/>
      <c r="AM272" s="8"/>
      <c r="AN272" s="8"/>
      <c r="AO272" s="8"/>
      <c r="AP272" s="8"/>
      <c r="AQ272" s="8">
        <v>4</v>
      </c>
      <c r="AR272" s="8"/>
      <c r="AS272" s="8"/>
      <c r="AT272" s="8"/>
      <c r="AU272" s="8"/>
      <c r="AV272" s="8"/>
      <c r="AW272" s="8"/>
      <c r="AX272" s="8"/>
      <c r="AY272" s="8"/>
      <c r="AZ272" s="8">
        <v>3</v>
      </c>
      <c r="BA272" s="8"/>
      <c r="BB272" s="8"/>
      <c r="BC272" s="8"/>
      <c r="BD272" s="8">
        <v>2</v>
      </c>
      <c r="BE272" s="8">
        <v>1</v>
      </c>
      <c r="BF272" s="8"/>
      <c r="BG272" s="8"/>
      <c r="BH272" s="8">
        <v>1</v>
      </c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</row>
    <row r="273" spans="1:76" ht="16.5" customHeight="1" x14ac:dyDescent="0.3">
      <c r="G273" s="14">
        <v>1494566</v>
      </c>
      <c r="H273" s="15" t="s">
        <v>375</v>
      </c>
      <c r="I273" s="14" t="s">
        <v>253</v>
      </c>
      <c r="J273" s="14">
        <v>2</v>
      </c>
      <c r="K273" s="14" t="s">
        <v>254</v>
      </c>
      <c r="L273" s="14" t="s">
        <v>255</v>
      </c>
      <c r="M273" s="14" t="s">
        <v>94</v>
      </c>
      <c r="N273" s="14" t="s">
        <v>261</v>
      </c>
      <c r="O273" s="13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</row>
    <row r="274" spans="1:76" ht="16.5" customHeight="1" x14ac:dyDescent="0.3">
      <c r="A274" t="s">
        <v>724</v>
      </c>
      <c r="B274" t="s">
        <v>656</v>
      </c>
      <c r="C274" t="s">
        <v>725</v>
      </c>
      <c r="D274" t="s">
        <v>753</v>
      </c>
      <c r="E274" t="s">
        <v>753</v>
      </c>
      <c r="F274" t="s">
        <v>753</v>
      </c>
      <c r="G274" s="5">
        <v>1494566</v>
      </c>
      <c r="H274" s="38" t="s">
        <v>376</v>
      </c>
      <c r="I274" s="5" t="s">
        <v>253</v>
      </c>
      <c r="J274" s="5">
        <v>2</v>
      </c>
      <c r="K274" s="5" t="s">
        <v>254</v>
      </c>
      <c r="L274" s="5" t="s">
        <v>255</v>
      </c>
      <c r="M274" s="5" t="s">
        <v>94</v>
      </c>
      <c r="N274" s="5" t="s">
        <v>261</v>
      </c>
      <c r="O274" s="4"/>
      <c r="P274" s="24">
        <f t="shared" ref="P274:P279" si="60">SUM(Q274,R274)</f>
        <v>1</v>
      </c>
      <c r="Q274" s="8">
        <f t="shared" ref="Q274:Q279" si="61">S274</f>
        <v>0</v>
      </c>
      <c r="R274" s="8">
        <f t="shared" ref="R274:R279" si="62">SUM(T274:BX274)</f>
        <v>1</v>
      </c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>
        <v>1</v>
      </c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</row>
    <row r="275" spans="1:76" ht="16.5" customHeight="1" x14ac:dyDescent="0.3">
      <c r="A275" t="s">
        <v>724</v>
      </c>
      <c r="B275" t="s">
        <v>656</v>
      </c>
      <c r="C275" t="s">
        <v>725</v>
      </c>
      <c r="D275" t="s">
        <v>753</v>
      </c>
      <c r="E275" t="s">
        <v>754</v>
      </c>
      <c r="F275" t="s">
        <v>754</v>
      </c>
      <c r="G275" s="5">
        <v>1494567</v>
      </c>
      <c r="H275" s="7" t="s">
        <v>377</v>
      </c>
      <c r="I275" s="5" t="s">
        <v>253</v>
      </c>
      <c r="J275" s="5">
        <v>2</v>
      </c>
      <c r="K275" s="5" t="s">
        <v>102</v>
      </c>
      <c r="L275" s="5" t="s">
        <v>109</v>
      </c>
      <c r="M275" s="5" t="s">
        <v>94</v>
      </c>
      <c r="N275" s="5" t="s">
        <v>283</v>
      </c>
      <c r="O275" s="4"/>
      <c r="P275" s="24">
        <f t="shared" si="60"/>
        <v>8</v>
      </c>
      <c r="Q275" s="8">
        <f t="shared" si="61"/>
        <v>0</v>
      </c>
      <c r="R275" s="8">
        <f t="shared" si="62"/>
        <v>8</v>
      </c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>
        <v>1</v>
      </c>
      <c r="AQ275" s="8"/>
      <c r="AR275" s="8"/>
      <c r="AS275" s="8"/>
      <c r="AT275" s="8"/>
      <c r="AU275" s="8"/>
      <c r="AV275" s="8"/>
      <c r="AW275" s="8"/>
      <c r="AX275" s="8"/>
      <c r="AY275" s="8">
        <v>2</v>
      </c>
      <c r="AZ275" s="8"/>
      <c r="BA275" s="8"/>
      <c r="BB275" s="8"/>
      <c r="BC275" s="8"/>
      <c r="BD275" s="8"/>
      <c r="BE275" s="8"/>
      <c r="BF275" s="8"/>
      <c r="BG275" s="8"/>
      <c r="BH275" s="8">
        <v>1</v>
      </c>
      <c r="BI275" s="8"/>
      <c r="BJ275" s="8"/>
      <c r="BK275" s="8"/>
      <c r="BL275" s="8">
        <v>1</v>
      </c>
      <c r="BM275" s="8"/>
      <c r="BN275" s="8"/>
      <c r="BO275" s="8"/>
      <c r="BP275" s="8"/>
      <c r="BQ275" s="8">
        <v>3</v>
      </c>
      <c r="BR275" s="8"/>
      <c r="BS275" s="8"/>
      <c r="BT275" s="8"/>
      <c r="BU275" s="8"/>
      <c r="BV275" s="8"/>
      <c r="BW275" s="8"/>
      <c r="BX275" s="8"/>
    </row>
    <row r="276" spans="1:76" ht="16.5" customHeight="1" x14ac:dyDescent="0.3">
      <c r="A276" t="s">
        <v>724</v>
      </c>
      <c r="B276" t="s">
        <v>656</v>
      </c>
      <c r="C276" t="s">
        <v>725</v>
      </c>
      <c r="D276" t="s">
        <v>753</v>
      </c>
      <c r="E276" t="s">
        <v>755</v>
      </c>
      <c r="F276" t="s">
        <v>755</v>
      </c>
      <c r="G276" s="5">
        <v>1494680</v>
      </c>
      <c r="H276" s="7" t="s">
        <v>378</v>
      </c>
      <c r="I276" s="5" t="s">
        <v>253</v>
      </c>
      <c r="J276" s="5">
        <v>2</v>
      </c>
      <c r="K276" s="5" t="s">
        <v>102</v>
      </c>
      <c r="L276" s="5" t="s">
        <v>109</v>
      </c>
      <c r="M276" s="5" t="s">
        <v>94</v>
      </c>
      <c r="N276" s="5" t="s">
        <v>283</v>
      </c>
      <c r="O276" s="4"/>
      <c r="P276" s="24">
        <f t="shared" si="60"/>
        <v>8</v>
      </c>
      <c r="Q276" s="8">
        <f t="shared" si="61"/>
        <v>0</v>
      </c>
      <c r="R276" s="8">
        <f t="shared" si="62"/>
        <v>8</v>
      </c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>
        <v>1</v>
      </c>
      <c r="AQ276" s="8"/>
      <c r="AR276" s="8"/>
      <c r="AS276" s="8"/>
      <c r="AT276" s="8"/>
      <c r="AU276" s="8"/>
      <c r="AV276" s="8"/>
      <c r="AW276" s="8"/>
      <c r="AX276" s="8"/>
      <c r="AY276" s="8">
        <v>1</v>
      </c>
      <c r="AZ276" s="8"/>
      <c r="BA276" s="8"/>
      <c r="BB276" s="8"/>
      <c r="BC276" s="8"/>
      <c r="BD276" s="8"/>
      <c r="BE276" s="8"/>
      <c r="BF276" s="8"/>
      <c r="BG276" s="8"/>
      <c r="BH276" s="8">
        <v>1</v>
      </c>
      <c r="BI276" s="8"/>
      <c r="BJ276" s="8">
        <v>2</v>
      </c>
      <c r="BK276" s="8"/>
      <c r="BL276" s="8"/>
      <c r="BM276" s="8"/>
      <c r="BN276" s="8"/>
      <c r="BO276" s="8"/>
      <c r="BP276" s="8"/>
      <c r="BQ276" s="8">
        <v>2</v>
      </c>
      <c r="BR276" s="8"/>
      <c r="BS276" s="8">
        <v>1</v>
      </c>
      <c r="BT276" s="8"/>
      <c r="BU276" s="8"/>
      <c r="BV276" s="8"/>
      <c r="BW276" s="8"/>
      <c r="BX276" s="8"/>
    </row>
    <row r="277" spans="1:76" ht="16.5" customHeight="1" x14ac:dyDescent="0.3">
      <c r="A277" t="s">
        <v>724</v>
      </c>
      <c r="B277" t="s">
        <v>656</v>
      </c>
      <c r="C277" t="s">
        <v>725</v>
      </c>
      <c r="D277" t="s">
        <v>753</v>
      </c>
      <c r="E277" t="s">
        <v>756</v>
      </c>
      <c r="F277" t="s">
        <v>756</v>
      </c>
      <c r="G277" s="5">
        <v>1494839</v>
      </c>
      <c r="H277" s="7" t="s">
        <v>379</v>
      </c>
      <c r="I277" s="5" t="s">
        <v>253</v>
      </c>
      <c r="J277" s="5">
        <v>2</v>
      </c>
      <c r="K277" s="5" t="s">
        <v>102</v>
      </c>
      <c r="L277" s="5" t="s">
        <v>109</v>
      </c>
      <c r="M277" s="5" t="s">
        <v>94</v>
      </c>
      <c r="N277" s="5" t="s">
        <v>380</v>
      </c>
      <c r="O277" s="4"/>
      <c r="P277" s="24">
        <f t="shared" si="60"/>
        <v>7</v>
      </c>
      <c r="Q277" s="8">
        <f t="shared" si="61"/>
        <v>0</v>
      </c>
      <c r="R277" s="8">
        <f t="shared" si="62"/>
        <v>7</v>
      </c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>
        <v>1</v>
      </c>
      <c r="AO277" s="8"/>
      <c r="AP277" s="8"/>
      <c r="AQ277" s="8"/>
      <c r="AR277" s="8"/>
      <c r="AS277" s="8"/>
      <c r="AT277" s="8"/>
      <c r="AU277" s="8"/>
      <c r="AV277" s="8"/>
      <c r="AW277" s="8">
        <v>1</v>
      </c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>
        <v>2</v>
      </c>
      <c r="BK277" s="8"/>
      <c r="BL277" s="8"/>
      <c r="BM277" s="8"/>
      <c r="BN277" s="8"/>
      <c r="BO277" s="8">
        <v>1</v>
      </c>
      <c r="BP277" s="8"/>
      <c r="BQ277" s="8"/>
      <c r="BR277" s="8"/>
      <c r="BS277" s="8"/>
      <c r="BT277" s="8"/>
      <c r="BU277" s="8">
        <v>1</v>
      </c>
      <c r="BV277" s="8">
        <v>1</v>
      </c>
      <c r="BW277" s="8"/>
      <c r="BX277" s="8"/>
    </row>
    <row r="278" spans="1:76" ht="16.5" customHeight="1" x14ac:dyDescent="0.3">
      <c r="A278" t="s">
        <v>724</v>
      </c>
      <c r="B278" t="s">
        <v>656</v>
      </c>
      <c r="C278" t="s">
        <v>725</v>
      </c>
      <c r="D278" t="s">
        <v>753</v>
      </c>
      <c r="E278" t="s">
        <v>757</v>
      </c>
      <c r="F278" t="s">
        <v>757</v>
      </c>
      <c r="G278" s="5">
        <v>1495106</v>
      </c>
      <c r="H278" s="7" t="s">
        <v>381</v>
      </c>
      <c r="I278" s="5" t="s">
        <v>253</v>
      </c>
      <c r="J278" s="5">
        <v>2</v>
      </c>
      <c r="K278" s="5" t="s">
        <v>102</v>
      </c>
      <c r="L278" s="5" t="s">
        <v>109</v>
      </c>
      <c r="M278" s="5" t="s">
        <v>94</v>
      </c>
      <c r="N278" s="5" t="s">
        <v>380</v>
      </c>
      <c r="O278" s="4"/>
      <c r="P278" s="24">
        <f t="shared" si="60"/>
        <v>10</v>
      </c>
      <c r="Q278" s="8">
        <f t="shared" si="61"/>
        <v>0</v>
      </c>
      <c r="R278" s="8">
        <f t="shared" si="62"/>
        <v>10</v>
      </c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>
        <v>2</v>
      </c>
      <c r="AO278" s="8"/>
      <c r="AP278" s="8"/>
      <c r="AQ278" s="8">
        <v>1</v>
      </c>
      <c r="AR278" s="8"/>
      <c r="AS278" s="8"/>
      <c r="AT278" s="8"/>
      <c r="AU278" s="8"/>
      <c r="AV278" s="8"/>
      <c r="AW278" s="8">
        <v>3</v>
      </c>
      <c r="AX278" s="8"/>
      <c r="AY278" s="8"/>
      <c r="AZ278" s="8">
        <v>2</v>
      </c>
      <c r="BA278" s="8"/>
      <c r="BB278" s="8"/>
      <c r="BC278" s="8"/>
      <c r="BD278" s="8"/>
      <c r="BE278" s="8"/>
      <c r="BF278" s="8"/>
      <c r="BG278" s="8"/>
      <c r="BH278" s="8">
        <v>1</v>
      </c>
      <c r="BI278" s="8"/>
      <c r="BJ278" s="8"/>
      <c r="BK278" s="8"/>
      <c r="BL278" s="8"/>
      <c r="BM278" s="8"/>
      <c r="BN278" s="8"/>
      <c r="BO278" s="8">
        <v>1</v>
      </c>
      <c r="BP278" s="8"/>
      <c r="BQ278" s="8"/>
      <c r="BR278" s="8"/>
      <c r="BS278" s="8"/>
      <c r="BT278" s="8"/>
      <c r="BU278" s="8"/>
      <c r="BV278" s="8"/>
      <c r="BW278" s="8"/>
      <c r="BX278" s="8"/>
    </row>
    <row r="279" spans="1:76" ht="16.5" customHeight="1" x14ac:dyDescent="0.3">
      <c r="A279" t="s">
        <v>724</v>
      </c>
      <c r="B279" t="s">
        <v>656</v>
      </c>
      <c r="C279" t="s">
        <v>725</v>
      </c>
      <c r="D279" t="s">
        <v>753</v>
      </c>
      <c r="E279" t="s">
        <v>758</v>
      </c>
      <c r="F279" t="s">
        <v>758</v>
      </c>
      <c r="G279" s="5">
        <v>1495142</v>
      </c>
      <c r="H279" s="7" t="s">
        <v>382</v>
      </c>
      <c r="I279" s="5" t="s">
        <v>253</v>
      </c>
      <c r="J279" s="5">
        <v>2</v>
      </c>
      <c r="K279" s="5" t="s">
        <v>102</v>
      </c>
      <c r="L279" s="5" t="s">
        <v>109</v>
      </c>
      <c r="M279" s="5" t="s">
        <v>94</v>
      </c>
      <c r="N279" s="5" t="s">
        <v>380</v>
      </c>
      <c r="O279" s="4"/>
      <c r="P279" s="24">
        <f t="shared" si="60"/>
        <v>13</v>
      </c>
      <c r="Q279" s="8">
        <f t="shared" si="61"/>
        <v>0</v>
      </c>
      <c r="R279" s="8">
        <f t="shared" si="62"/>
        <v>13</v>
      </c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>
        <v>4</v>
      </c>
      <c r="AR279" s="8"/>
      <c r="AS279" s="8"/>
      <c r="AT279" s="8"/>
      <c r="AU279" s="8"/>
      <c r="AV279" s="8">
        <v>1</v>
      </c>
      <c r="AW279" s="8"/>
      <c r="AX279" s="8"/>
      <c r="AY279" s="8"/>
      <c r="AZ279" s="8">
        <v>6</v>
      </c>
      <c r="BA279" s="8"/>
      <c r="BB279" s="8"/>
      <c r="BC279" s="8"/>
      <c r="BD279" s="8"/>
      <c r="BE279" s="8"/>
      <c r="BF279" s="8"/>
      <c r="BG279" s="8"/>
      <c r="BH279" s="8">
        <v>2</v>
      </c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</row>
    <row r="280" spans="1:76" ht="16.5" customHeight="1" x14ac:dyDescent="0.3">
      <c r="G280" s="14">
        <v>1494569</v>
      </c>
      <c r="H280" s="15" t="s">
        <v>383</v>
      </c>
      <c r="I280" s="14" t="s">
        <v>253</v>
      </c>
      <c r="J280" s="14">
        <v>2</v>
      </c>
      <c r="K280" s="14" t="s">
        <v>254</v>
      </c>
      <c r="L280" s="14" t="s">
        <v>255</v>
      </c>
      <c r="M280" s="14" t="s">
        <v>94</v>
      </c>
      <c r="N280" s="14" t="s">
        <v>261</v>
      </c>
      <c r="O280" s="13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</row>
    <row r="281" spans="1:76" ht="16.5" customHeight="1" x14ac:dyDescent="0.3">
      <c r="A281" t="s">
        <v>724</v>
      </c>
      <c r="B281" t="s">
        <v>656</v>
      </c>
      <c r="C281" t="s">
        <v>725</v>
      </c>
      <c r="D281" t="s">
        <v>759</v>
      </c>
      <c r="E281" t="s">
        <v>759</v>
      </c>
      <c r="F281" t="s">
        <v>759</v>
      </c>
      <c r="G281" s="5">
        <v>1494569</v>
      </c>
      <c r="H281" s="38" t="s">
        <v>384</v>
      </c>
      <c r="I281" s="5" t="s">
        <v>253</v>
      </c>
      <c r="J281" s="5">
        <v>2</v>
      </c>
      <c r="K281" s="5" t="s">
        <v>254</v>
      </c>
      <c r="L281" s="5" t="s">
        <v>255</v>
      </c>
      <c r="M281" s="5" t="s">
        <v>94</v>
      </c>
      <c r="N281" s="5" t="s">
        <v>261</v>
      </c>
      <c r="O281" s="4"/>
      <c r="P281" s="24">
        <f t="shared" ref="P281:P285" si="63">SUM(Q281,R281)</f>
        <v>1</v>
      </c>
      <c r="Q281" s="8">
        <f t="shared" ref="Q281:Q285" si="64">S281</f>
        <v>0</v>
      </c>
      <c r="R281" s="8">
        <f t="shared" ref="R281:R285" si="65">SUM(T281:BX281)</f>
        <v>1</v>
      </c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>
        <v>1</v>
      </c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</row>
    <row r="282" spans="1:76" ht="16.5" customHeight="1" x14ac:dyDescent="0.3">
      <c r="A282" t="s">
        <v>724</v>
      </c>
      <c r="B282" t="s">
        <v>656</v>
      </c>
      <c r="C282" t="s">
        <v>725</v>
      </c>
      <c r="D282" t="s">
        <v>759</v>
      </c>
      <c r="E282" t="s">
        <v>760</v>
      </c>
      <c r="F282" t="s">
        <v>760</v>
      </c>
      <c r="G282" s="5">
        <v>1494570</v>
      </c>
      <c r="H282" s="7" t="s">
        <v>385</v>
      </c>
      <c r="I282" s="5" t="s">
        <v>253</v>
      </c>
      <c r="J282" s="5">
        <v>2</v>
      </c>
      <c r="K282" s="5" t="s">
        <v>102</v>
      </c>
      <c r="L282" s="5" t="s">
        <v>109</v>
      </c>
      <c r="M282" s="5" t="s">
        <v>94</v>
      </c>
      <c r="N282" s="5" t="s">
        <v>283</v>
      </c>
      <c r="O282" s="4"/>
      <c r="P282" s="24">
        <f t="shared" si="63"/>
        <v>13</v>
      </c>
      <c r="Q282" s="8">
        <f t="shared" si="64"/>
        <v>0</v>
      </c>
      <c r="R282" s="8">
        <f t="shared" si="65"/>
        <v>13</v>
      </c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>
        <v>2</v>
      </c>
      <c r="AQ282" s="8"/>
      <c r="AR282" s="8"/>
      <c r="AS282" s="8"/>
      <c r="AT282" s="8"/>
      <c r="AU282" s="8"/>
      <c r="AV282" s="8"/>
      <c r="AW282" s="8">
        <v>1</v>
      </c>
      <c r="AX282" s="8"/>
      <c r="AY282" s="8">
        <v>1</v>
      </c>
      <c r="AZ282" s="8"/>
      <c r="BA282" s="8"/>
      <c r="BB282" s="8"/>
      <c r="BC282" s="8"/>
      <c r="BD282" s="8"/>
      <c r="BE282" s="8"/>
      <c r="BF282" s="8"/>
      <c r="BG282" s="8"/>
      <c r="BH282" s="8">
        <v>1</v>
      </c>
      <c r="BI282" s="8"/>
      <c r="BJ282" s="8">
        <v>2</v>
      </c>
      <c r="BK282" s="8"/>
      <c r="BL282" s="8">
        <v>1</v>
      </c>
      <c r="BM282" s="8"/>
      <c r="BN282" s="8"/>
      <c r="BO282" s="8"/>
      <c r="BP282" s="8"/>
      <c r="BQ282" s="8">
        <v>3</v>
      </c>
      <c r="BR282" s="8"/>
      <c r="BS282" s="8">
        <v>2</v>
      </c>
      <c r="BT282" s="8"/>
      <c r="BU282" s="8"/>
      <c r="BV282" s="8"/>
      <c r="BW282" s="8"/>
      <c r="BX282" s="8"/>
    </row>
    <row r="283" spans="1:76" ht="16.5" customHeight="1" x14ac:dyDescent="0.3">
      <c r="A283" t="s">
        <v>724</v>
      </c>
      <c r="B283" t="s">
        <v>656</v>
      </c>
      <c r="C283" t="s">
        <v>725</v>
      </c>
      <c r="D283" t="s">
        <v>759</v>
      </c>
      <c r="E283" t="s">
        <v>756</v>
      </c>
      <c r="F283" t="s">
        <v>756</v>
      </c>
      <c r="G283" s="5">
        <v>1494840</v>
      </c>
      <c r="H283" s="7" t="s">
        <v>379</v>
      </c>
      <c r="I283" s="5" t="s">
        <v>253</v>
      </c>
      <c r="J283" s="5">
        <v>2</v>
      </c>
      <c r="K283" s="5" t="s">
        <v>102</v>
      </c>
      <c r="L283" s="5" t="s">
        <v>109</v>
      </c>
      <c r="M283" s="5" t="s">
        <v>94</v>
      </c>
      <c r="N283" s="5" t="s">
        <v>380</v>
      </c>
      <c r="O283" s="4"/>
      <c r="P283" s="24">
        <f t="shared" si="63"/>
        <v>6</v>
      </c>
      <c r="Q283" s="8">
        <f t="shared" si="64"/>
        <v>0</v>
      </c>
      <c r="R283" s="8">
        <f t="shared" si="65"/>
        <v>6</v>
      </c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>
        <v>1</v>
      </c>
      <c r="AO283" s="8"/>
      <c r="AP283" s="8"/>
      <c r="AQ283" s="8"/>
      <c r="AR283" s="8"/>
      <c r="AS283" s="8"/>
      <c r="AT283" s="8"/>
      <c r="AU283" s="8"/>
      <c r="AV283" s="8"/>
      <c r="AW283" s="8">
        <v>1</v>
      </c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>
        <v>1</v>
      </c>
      <c r="BK283" s="8"/>
      <c r="BL283" s="8"/>
      <c r="BM283" s="8"/>
      <c r="BN283" s="8"/>
      <c r="BO283" s="8">
        <v>1</v>
      </c>
      <c r="BP283" s="8"/>
      <c r="BQ283" s="8"/>
      <c r="BR283" s="8"/>
      <c r="BS283" s="8"/>
      <c r="BT283" s="8"/>
      <c r="BU283" s="8">
        <v>1</v>
      </c>
      <c r="BV283" s="8">
        <v>1</v>
      </c>
      <c r="BW283" s="8"/>
      <c r="BX283" s="8"/>
    </row>
    <row r="284" spans="1:76" ht="16.5" customHeight="1" x14ac:dyDescent="0.3">
      <c r="A284" t="s">
        <v>724</v>
      </c>
      <c r="B284" t="s">
        <v>656</v>
      </c>
      <c r="C284" t="s">
        <v>725</v>
      </c>
      <c r="D284" t="s">
        <v>759</v>
      </c>
      <c r="E284" t="s">
        <v>757</v>
      </c>
      <c r="F284" t="s">
        <v>757</v>
      </c>
      <c r="G284" s="5">
        <v>1495077</v>
      </c>
      <c r="H284" s="7" t="s">
        <v>381</v>
      </c>
      <c r="I284" s="5" t="s">
        <v>253</v>
      </c>
      <c r="J284" s="5">
        <v>2</v>
      </c>
      <c r="K284" s="5" t="s">
        <v>102</v>
      </c>
      <c r="L284" s="5" t="s">
        <v>109</v>
      </c>
      <c r="M284" s="5" t="s">
        <v>94</v>
      </c>
      <c r="N284" s="5" t="s">
        <v>380</v>
      </c>
      <c r="O284" s="4"/>
      <c r="P284" s="24">
        <f t="shared" si="63"/>
        <v>11</v>
      </c>
      <c r="Q284" s="8">
        <f t="shared" si="64"/>
        <v>0</v>
      </c>
      <c r="R284" s="8">
        <f t="shared" si="65"/>
        <v>11</v>
      </c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>
        <v>2</v>
      </c>
      <c r="AO284" s="8"/>
      <c r="AP284" s="8"/>
      <c r="AQ284" s="8">
        <v>1</v>
      </c>
      <c r="AR284" s="8"/>
      <c r="AS284" s="8"/>
      <c r="AT284" s="8"/>
      <c r="AU284" s="8"/>
      <c r="AV284" s="8"/>
      <c r="AW284" s="8">
        <v>4</v>
      </c>
      <c r="AX284" s="8"/>
      <c r="AY284" s="8"/>
      <c r="AZ284" s="8">
        <v>2</v>
      </c>
      <c r="BA284" s="8"/>
      <c r="BB284" s="8"/>
      <c r="BC284" s="8"/>
      <c r="BD284" s="8"/>
      <c r="BE284" s="8"/>
      <c r="BF284" s="8"/>
      <c r="BG284" s="8"/>
      <c r="BH284" s="8">
        <v>1</v>
      </c>
      <c r="BI284" s="8"/>
      <c r="BJ284" s="8"/>
      <c r="BK284" s="8"/>
      <c r="BL284" s="8"/>
      <c r="BM284" s="8"/>
      <c r="BN284" s="8"/>
      <c r="BO284" s="8">
        <v>1</v>
      </c>
      <c r="BP284" s="8"/>
      <c r="BQ284" s="8"/>
      <c r="BR284" s="8"/>
      <c r="BS284" s="8"/>
      <c r="BT284" s="8"/>
      <c r="BU284" s="8"/>
      <c r="BV284" s="8"/>
      <c r="BW284" s="8"/>
      <c r="BX284" s="8"/>
    </row>
    <row r="285" spans="1:76" ht="16.5" customHeight="1" x14ac:dyDescent="0.3">
      <c r="A285" t="s">
        <v>724</v>
      </c>
      <c r="B285" t="s">
        <v>656</v>
      </c>
      <c r="C285" t="s">
        <v>725</v>
      </c>
      <c r="D285" t="s">
        <v>759</v>
      </c>
      <c r="E285" t="s">
        <v>758</v>
      </c>
      <c r="F285" t="s">
        <v>758</v>
      </c>
      <c r="G285" s="5">
        <v>1495103</v>
      </c>
      <c r="H285" s="7" t="s">
        <v>382</v>
      </c>
      <c r="I285" s="5" t="s">
        <v>253</v>
      </c>
      <c r="J285" s="5">
        <v>2</v>
      </c>
      <c r="K285" s="5" t="s">
        <v>102</v>
      </c>
      <c r="L285" s="5" t="s">
        <v>109</v>
      </c>
      <c r="M285" s="5" t="s">
        <v>94</v>
      </c>
      <c r="N285" s="5" t="s">
        <v>380</v>
      </c>
      <c r="O285" s="4"/>
      <c r="P285" s="24">
        <f t="shared" si="63"/>
        <v>14</v>
      </c>
      <c r="Q285" s="8">
        <f t="shared" si="64"/>
        <v>0</v>
      </c>
      <c r="R285" s="8">
        <f t="shared" si="65"/>
        <v>14</v>
      </c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>
        <v>5</v>
      </c>
      <c r="AR285" s="8"/>
      <c r="AS285" s="8"/>
      <c r="AT285" s="8"/>
      <c r="AU285" s="8"/>
      <c r="AV285" s="8"/>
      <c r="AW285" s="8"/>
      <c r="AX285" s="8"/>
      <c r="AY285" s="8"/>
      <c r="AZ285" s="8">
        <v>7</v>
      </c>
      <c r="BA285" s="8"/>
      <c r="BB285" s="8"/>
      <c r="BC285" s="8"/>
      <c r="BD285" s="8"/>
      <c r="BE285" s="8"/>
      <c r="BF285" s="8"/>
      <c r="BG285" s="8"/>
      <c r="BH285" s="8">
        <v>2</v>
      </c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</row>
    <row r="286" spans="1:76" ht="16.5" customHeight="1" x14ac:dyDescent="0.3">
      <c r="G286" s="10">
        <v>1494123</v>
      </c>
      <c r="H286" s="11" t="s">
        <v>386</v>
      </c>
      <c r="I286" s="10" t="s">
        <v>253</v>
      </c>
      <c r="J286" s="10">
        <v>1</v>
      </c>
      <c r="K286" s="10" t="s">
        <v>254</v>
      </c>
      <c r="L286" s="10" t="s">
        <v>255</v>
      </c>
      <c r="M286" s="10" t="s">
        <v>94</v>
      </c>
      <c r="N286" s="10" t="s">
        <v>116</v>
      </c>
      <c r="O286" s="9"/>
      <c r="P286" s="21"/>
      <c r="Q286" s="12"/>
      <c r="R286" s="21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</row>
    <row r="287" spans="1:76" ht="16.5" customHeight="1" x14ac:dyDescent="0.3">
      <c r="A287" t="s">
        <v>724</v>
      </c>
      <c r="B287" t="s">
        <v>656</v>
      </c>
      <c r="C287" t="s">
        <v>761</v>
      </c>
      <c r="D287" t="s">
        <v>761</v>
      </c>
      <c r="E287" t="s">
        <v>761</v>
      </c>
      <c r="F287" t="s">
        <v>761</v>
      </c>
      <c r="G287" s="5">
        <v>1494123</v>
      </c>
      <c r="H287" s="38" t="s">
        <v>387</v>
      </c>
      <c r="I287" s="5" t="s">
        <v>253</v>
      </c>
      <c r="J287" s="5">
        <v>1</v>
      </c>
      <c r="K287" s="5" t="s">
        <v>254</v>
      </c>
      <c r="L287" s="5" t="s">
        <v>255</v>
      </c>
      <c r="M287" s="5" t="s">
        <v>94</v>
      </c>
      <c r="N287" s="5" t="s">
        <v>116</v>
      </c>
      <c r="O287" s="4"/>
      <c r="P287" s="24">
        <f>SUM(Q287,R287)</f>
        <v>1</v>
      </c>
      <c r="Q287" s="8">
        <f>S287</f>
        <v>0</v>
      </c>
      <c r="R287" s="8">
        <f>SUM(T287:BX287)</f>
        <v>1</v>
      </c>
      <c r="S287" s="8"/>
      <c r="T287" s="8"/>
      <c r="U287" s="8"/>
      <c r="V287" s="8">
        <v>1</v>
      </c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</row>
    <row r="288" spans="1:76" ht="16.5" customHeight="1" x14ac:dyDescent="0.3">
      <c r="G288" s="14">
        <v>1494124</v>
      </c>
      <c r="H288" s="15" t="s">
        <v>388</v>
      </c>
      <c r="I288" s="14" t="s">
        <v>253</v>
      </c>
      <c r="J288" s="14">
        <v>1</v>
      </c>
      <c r="K288" s="14" t="s">
        <v>102</v>
      </c>
      <c r="L288" s="14" t="s">
        <v>109</v>
      </c>
      <c r="M288" s="14" t="s">
        <v>94</v>
      </c>
      <c r="N288" s="14" t="s">
        <v>258</v>
      </c>
      <c r="O288" s="13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</row>
    <row r="289" spans="1:76" ht="16.5" customHeight="1" x14ac:dyDescent="0.3">
      <c r="A289" t="s">
        <v>724</v>
      </c>
      <c r="B289" t="s">
        <v>656</v>
      </c>
      <c r="C289" t="s">
        <v>761</v>
      </c>
      <c r="D289" t="s">
        <v>761</v>
      </c>
      <c r="E289" t="s">
        <v>762</v>
      </c>
      <c r="F289" t="s">
        <v>658</v>
      </c>
      <c r="G289" s="5">
        <v>1494124</v>
      </c>
      <c r="H289" s="7" t="s">
        <v>389</v>
      </c>
      <c r="I289" s="5" t="s">
        <v>253</v>
      </c>
      <c r="J289" s="5">
        <v>1</v>
      </c>
      <c r="K289" s="5" t="s">
        <v>102</v>
      </c>
      <c r="L289" s="5" t="s">
        <v>109</v>
      </c>
      <c r="M289" s="5" t="s">
        <v>94</v>
      </c>
      <c r="N289" s="5" t="s">
        <v>258</v>
      </c>
      <c r="O289" s="4"/>
      <c r="P289" s="24">
        <f t="shared" ref="P289:P306" si="66">SUM(Q289,R289)</f>
        <v>1</v>
      </c>
      <c r="Q289" s="8">
        <f t="shared" ref="Q289:Q306" si="67">S289</f>
        <v>0</v>
      </c>
      <c r="R289" s="8">
        <f t="shared" ref="R289:R306" si="68">SUM(T289:BX289)</f>
        <v>1</v>
      </c>
      <c r="S289" s="8"/>
      <c r="T289" s="8"/>
      <c r="U289" s="8"/>
      <c r="V289" s="8"/>
      <c r="W289" s="8"/>
      <c r="X289" s="8"/>
      <c r="Y289" s="8"/>
      <c r="Z289" s="8"/>
      <c r="AA289" s="8"/>
      <c r="AB289" s="8">
        <v>1</v>
      </c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</row>
    <row r="290" spans="1:76" ht="16.5" customHeight="1" x14ac:dyDescent="0.3">
      <c r="A290" t="s">
        <v>724</v>
      </c>
      <c r="B290" t="s">
        <v>656</v>
      </c>
      <c r="C290" t="s">
        <v>761</v>
      </c>
      <c r="D290" t="s">
        <v>761</v>
      </c>
      <c r="E290" t="s">
        <v>762</v>
      </c>
      <c r="F290" t="s">
        <v>659</v>
      </c>
      <c r="G290" s="5">
        <v>1492878</v>
      </c>
      <c r="H290" s="7" t="s">
        <v>260</v>
      </c>
      <c r="I290" s="5" t="s">
        <v>253</v>
      </c>
      <c r="J290" s="5">
        <v>1</v>
      </c>
      <c r="K290" s="5" t="s">
        <v>102</v>
      </c>
      <c r="L290" s="5" t="s">
        <v>109</v>
      </c>
      <c r="M290" s="5" t="s">
        <v>94</v>
      </c>
      <c r="N290" s="5" t="s">
        <v>261</v>
      </c>
      <c r="O290" s="4"/>
      <c r="P290" s="24">
        <f t="shared" si="66"/>
        <v>23</v>
      </c>
      <c r="Q290" s="8">
        <f t="shared" si="67"/>
        <v>0</v>
      </c>
      <c r="R290" s="8">
        <f t="shared" si="68"/>
        <v>23</v>
      </c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>
        <v>1</v>
      </c>
      <c r="AK290" s="8"/>
      <c r="AL290" s="8"/>
      <c r="AM290" s="8"/>
      <c r="AN290" s="8"/>
      <c r="AO290" s="8"/>
      <c r="AP290" s="8">
        <v>2</v>
      </c>
      <c r="AQ290" s="8"/>
      <c r="AR290" s="8"/>
      <c r="AS290" s="8"/>
      <c r="AT290" s="8"/>
      <c r="AU290" s="8"/>
      <c r="AV290" s="8"/>
      <c r="AW290" s="8">
        <v>1</v>
      </c>
      <c r="AX290" s="8"/>
      <c r="AY290" s="8">
        <v>5</v>
      </c>
      <c r="AZ290" s="8"/>
      <c r="BA290" s="8"/>
      <c r="BB290" s="8"/>
      <c r="BC290" s="8">
        <v>1</v>
      </c>
      <c r="BD290" s="8"/>
      <c r="BE290" s="8"/>
      <c r="BF290" s="8"/>
      <c r="BG290" s="8"/>
      <c r="BH290" s="8">
        <v>1</v>
      </c>
      <c r="BI290" s="8"/>
      <c r="BJ290" s="8">
        <v>3</v>
      </c>
      <c r="BK290" s="8"/>
      <c r="BL290" s="8">
        <v>2</v>
      </c>
      <c r="BM290" s="8"/>
      <c r="BN290" s="8"/>
      <c r="BO290" s="8"/>
      <c r="BP290" s="8"/>
      <c r="BQ290" s="8">
        <v>3</v>
      </c>
      <c r="BR290" s="8"/>
      <c r="BS290" s="8">
        <v>4</v>
      </c>
      <c r="BT290" s="8"/>
      <c r="BU290" s="8"/>
      <c r="BV290" s="8"/>
      <c r="BW290" s="8"/>
      <c r="BX290" s="8"/>
    </row>
    <row r="291" spans="1:76" ht="16.5" customHeight="1" x14ac:dyDescent="0.3">
      <c r="A291" t="s">
        <v>724</v>
      </c>
      <c r="B291" t="s">
        <v>656</v>
      </c>
      <c r="C291" t="s">
        <v>761</v>
      </c>
      <c r="D291" t="s">
        <v>761</v>
      </c>
      <c r="E291" t="s">
        <v>762</v>
      </c>
      <c r="F291" t="s">
        <v>660</v>
      </c>
      <c r="G291" s="5">
        <v>1494788</v>
      </c>
      <c r="H291" s="7" t="s">
        <v>262</v>
      </c>
      <c r="I291" s="5" t="s">
        <v>253</v>
      </c>
      <c r="J291" s="5">
        <v>1</v>
      </c>
      <c r="K291" s="5" t="s">
        <v>102</v>
      </c>
      <c r="L291" s="5" t="s">
        <v>109</v>
      </c>
      <c r="M291" s="5" t="s">
        <v>94</v>
      </c>
      <c r="N291" s="5" t="s">
        <v>261</v>
      </c>
      <c r="O291" s="4"/>
      <c r="P291" s="24">
        <f t="shared" si="66"/>
        <v>18</v>
      </c>
      <c r="Q291" s="8">
        <f t="shared" si="67"/>
        <v>0</v>
      </c>
      <c r="R291" s="8">
        <f t="shared" si="68"/>
        <v>18</v>
      </c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>
        <v>1</v>
      </c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>
        <v>3</v>
      </c>
      <c r="AZ291" s="8"/>
      <c r="BA291" s="8"/>
      <c r="BB291" s="8"/>
      <c r="BC291" s="8"/>
      <c r="BD291" s="8"/>
      <c r="BE291" s="8"/>
      <c r="BF291" s="8"/>
      <c r="BG291" s="8"/>
      <c r="BH291" s="8">
        <v>1</v>
      </c>
      <c r="BI291" s="8"/>
      <c r="BJ291" s="8">
        <v>5</v>
      </c>
      <c r="BK291" s="8"/>
      <c r="BL291" s="8">
        <v>2</v>
      </c>
      <c r="BM291" s="8"/>
      <c r="BN291" s="8"/>
      <c r="BO291" s="8"/>
      <c r="BP291" s="8"/>
      <c r="BQ291" s="8">
        <v>3</v>
      </c>
      <c r="BR291" s="8"/>
      <c r="BS291" s="8">
        <v>3</v>
      </c>
      <c r="BT291" s="8"/>
      <c r="BU291" s="8"/>
      <c r="BV291" s="8"/>
      <c r="BW291" s="8"/>
      <c r="BX291" s="8"/>
    </row>
    <row r="292" spans="1:76" ht="16.5" customHeight="1" x14ac:dyDescent="0.3">
      <c r="A292" t="s">
        <v>724</v>
      </c>
      <c r="B292" t="s">
        <v>656</v>
      </c>
      <c r="C292" t="s">
        <v>761</v>
      </c>
      <c r="D292" t="s">
        <v>761</v>
      </c>
      <c r="E292" t="s">
        <v>762</v>
      </c>
      <c r="F292" t="s">
        <v>661</v>
      </c>
      <c r="G292" s="5">
        <v>1492887</v>
      </c>
      <c r="H292" s="7" t="s">
        <v>263</v>
      </c>
      <c r="I292" s="5" t="s">
        <v>253</v>
      </c>
      <c r="J292" s="5">
        <v>1</v>
      </c>
      <c r="K292" s="5" t="s">
        <v>102</v>
      </c>
      <c r="L292" s="5" t="s">
        <v>109</v>
      </c>
      <c r="M292" s="5" t="s">
        <v>94</v>
      </c>
      <c r="N292" s="5" t="s">
        <v>261</v>
      </c>
      <c r="O292" s="4"/>
      <c r="P292" s="24">
        <f t="shared" si="66"/>
        <v>26</v>
      </c>
      <c r="Q292" s="8">
        <f t="shared" si="67"/>
        <v>0</v>
      </c>
      <c r="R292" s="8">
        <f t="shared" si="68"/>
        <v>26</v>
      </c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>
        <v>1</v>
      </c>
      <c r="AK292" s="8"/>
      <c r="AL292" s="8"/>
      <c r="AM292" s="8"/>
      <c r="AN292" s="8"/>
      <c r="AO292" s="8"/>
      <c r="AP292" s="8">
        <v>2</v>
      </c>
      <c r="AQ292" s="8"/>
      <c r="AR292" s="8"/>
      <c r="AS292" s="8"/>
      <c r="AT292" s="8"/>
      <c r="AU292" s="8"/>
      <c r="AV292" s="8"/>
      <c r="AW292" s="8">
        <v>1</v>
      </c>
      <c r="AX292" s="8"/>
      <c r="AY292" s="8">
        <v>5</v>
      </c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>
        <v>8</v>
      </c>
      <c r="BK292" s="8"/>
      <c r="BL292" s="8">
        <v>1</v>
      </c>
      <c r="BM292" s="8"/>
      <c r="BN292" s="8"/>
      <c r="BO292" s="8"/>
      <c r="BP292" s="8"/>
      <c r="BQ292" s="8">
        <v>6</v>
      </c>
      <c r="BR292" s="8"/>
      <c r="BS292" s="8">
        <v>2</v>
      </c>
      <c r="BT292" s="8"/>
      <c r="BU292" s="8"/>
      <c r="BV292" s="8"/>
      <c r="BW292" s="8"/>
      <c r="BX292" s="8"/>
    </row>
    <row r="293" spans="1:76" ht="16.5" customHeight="1" x14ac:dyDescent="0.3">
      <c r="A293" t="s">
        <v>724</v>
      </c>
      <c r="B293" t="s">
        <v>656</v>
      </c>
      <c r="C293" t="s">
        <v>761</v>
      </c>
      <c r="D293" t="s">
        <v>761</v>
      </c>
      <c r="E293" t="s">
        <v>762</v>
      </c>
      <c r="F293" t="s">
        <v>662</v>
      </c>
      <c r="G293" s="5">
        <v>1494321</v>
      </c>
      <c r="H293" s="7" t="s">
        <v>264</v>
      </c>
      <c r="I293" s="5" t="s">
        <v>253</v>
      </c>
      <c r="J293" s="5">
        <v>1</v>
      </c>
      <c r="K293" s="5" t="s">
        <v>102</v>
      </c>
      <c r="L293" s="5" t="s">
        <v>109</v>
      </c>
      <c r="M293" s="5" t="s">
        <v>94</v>
      </c>
      <c r="N293" s="5" t="s">
        <v>261</v>
      </c>
      <c r="O293" s="4"/>
      <c r="P293" s="24">
        <f t="shared" si="66"/>
        <v>15</v>
      </c>
      <c r="Q293" s="8">
        <f t="shared" si="67"/>
        <v>0</v>
      </c>
      <c r="R293" s="8">
        <f t="shared" si="68"/>
        <v>15</v>
      </c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>
        <v>1</v>
      </c>
      <c r="AK293" s="8"/>
      <c r="AL293" s="8"/>
      <c r="AM293" s="8"/>
      <c r="AN293" s="8"/>
      <c r="AO293" s="8"/>
      <c r="AP293" s="8">
        <v>2</v>
      </c>
      <c r="AQ293" s="8"/>
      <c r="AR293" s="8"/>
      <c r="AS293" s="8"/>
      <c r="AT293" s="8"/>
      <c r="AU293" s="8"/>
      <c r="AV293" s="8"/>
      <c r="AW293" s="8"/>
      <c r="AX293" s="8"/>
      <c r="AY293" s="8">
        <v>3</v>
      </c>
      <c r="AZ293" s="8"/>
      <c r="BA293" s="8"/>
      <c r="BB293" s="8"/>
      <c r="BC293" s="8"/>
      <c r="BD293" s="8"/>
      <c r="BE293" s="8"/>
      <c r="BF293" s="8"/>
      <c r="BG293" s="8"/>
      <c r="BH293" s="8">
        <v>1</v>
      </c>
      <c r="BI293" s="8"/>
      <c r="BJ293" s="8">
        <v>2</v>
      </c>
      <c r="BK293" s="8"/>
      <c r="BL293" s="8">
        <v>1</v>
      </c>
      <c r="BM293" s="8"/>
      <c r="BN293" s="8"/>
      <c r="BO293" s="8"/>
      <c r="BP293" s="8"/>
      <c r="BQ293" s="8">
        <v>3</v>
      </c>
      <c r="BR293" s="8"/>
      <c r="BS293" s="8">
        <v>2</v>
      </c>
      <c r="BT293" s="8"/>
      <c r="BU293" s="8"/>
      <c r="BV293" s="8"/>
      <c r="BW293" s="8"/>
      <c r="BX293" s="8"/>
    </row>
    <row r="294" spans="1:76" ht="16.5" customHeight="1" x14ac:dyDescent="0.3">
      <c r="A294" t="s">
        <v>724</v>
      </c>
      <c r="B294" t="s">
        <v>656</v>
      </c>
      <c r="C294" t="s">
        <v>761</v>
      </c>
      <c r="D294" t="s">
        <v>761</v>
      </c>
      <c r="E294" t="s">
        <v>762</v>
      </c>
      <c r="F294" t="s">
        <v>663</v>
      </c>
      <c r="G294" s="5">
        <v>1494322</v>
      </c>
      <c r="H294" s="7" t="s">
        <v>265</v>
      </c>
      <c r="I294" s="5" t="s">
        <v>253</v>
      </c>
      <c r="J294" s="5">
        <v>1</v>
      </c>
      <c r="K294" s="5" t="s">
        <v>102</v>
      </c>
      <c r="L294" s="5" t="s">
        <v>109</v>
      </c>
      <c r="M294" s="5" t="s">
        <v>94</v>
      </c>
      <c r="N294" s="5" t="s">
        <v>261</v>
      </c>
      <c r="O294" s="4"/>
      <c r="P294" s="24">
        <f t="shared" si="66"/>
        <v>11</v>
      </c>
      <c r="Q294" s="8">
        <f t="shared" si="67"/>
        <v>0</v>
      </c>
      <c r="R294" s="8">
        <f t="shared" si="68"/>
        <v>11</v>
      </c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>
        <v>1</v>
      </c>
      <c r="AK294" s="8"/>
      <c r="AL294" s="8"/>
      <c r="AM294" s="8"/>
      <c r="AN294" s="8"/>
      <c r="AO294" s="8"/>
      <c r="AP294" s="8">
        <v>1</v>
      </c>
      <c r="AQ294" s="8"/>
      <c r="AR294" s="8"/>
      <c r="AS294" s="8"/>
      <c r="AT294" s="8"/>
      <c r="AU294" s="8"/>
      <c r="AV294" s="8"/>
      <c r="AW294" s="8"/>
      <c r="AX294" s="8"/>
      <c r="AY294" s="8">
        <v>2</v>
      </c>
      <c r="AZ294" s="8"/>
      <c r="BA294" s="8"/>
      <c r="BB294" s="8"/>
      <c r="BC294" s="8"/>
      <c r="BD294" s="8"/>
      <c r="BE294" s="8"/>
      <c r="BF294" s="8"/>
      <c r="BG294" s="8"/>
      <c r="BH294" s="8">
        <v>1</v>
      </c>
      <c r="BI294" s="8"/>
      <c r="BJ294" s="8">
        <v>1</v>
      </c>
      <c r="BK294" s="8"/>
      <c r="BL294" s="8">
        <v>1</v>
      </c>
      <c r="BM294" s="8"/>
      <c r="BN294" s="8"/>
      <c r="BO294" s="8"/>
      <c r="BP294" s="8"/>
      <c r="BQ294" s="8">
        <v>2</v>
      </c>
      <c r="BR294" s="8"/>
      <c r="BS294" s="8">
        <v>2</v>
      </c>
      <c r="BT294" s="8"/>
      <c r="BU294" s="8"/>
      <c r="BV294" s="8"/>
      <c r="BW294" s="8"/>
      <c r="BX294" s="8"/>
    </row>
    <row r="295" spans="1:76" ht="16.5" customHeight="1" x14ac:dyDescent="0.3">
      <c r="A295" t="s">
        <v>724</v>
      </c>
      <c r="B295" t="s">
        <v>656</v>
      </c>
      <c r="C295" t="s">
        <v>761</v>
      </c>
      <c r="D295" t="s">
        <v>761</v>
      </c>
      <c r="E295" t="s">
        <v>763</v>
      </c>
      <c r="F295" t="s">
        <v>763</v>
      </c>
      <c r="G295" s="5">
        <v>1494918</v>
      </c>
      <c r="H295" s="7" t="s">
        <v>390</v>
      </c>
      <c r="I295" s="5" t="s">
        <v>253</v>
      </c>
      <c r="J295" s="5">
        <v>1</v>
      </c>
      <c r="K295" s="5" t="s">
        <v>102</v>
      </c>
      <c r="L295" s="5" t="s">
        <v>109</v>
      </c>
      <c r="M295" s="5" t="s">
        <v>94</v>
      </c>
      <c r="N295" s="5" t="s">
        <v>258</v>
      </c>
      <c r="O295" s="4"/>
      <c r="P295" s="24">
        <f t="shared" si="66"/>
        <v>11</v>
      </c>
      <c r="Q295" s="8">
        <f t="shared" si="67"/>
        <v>0</v>
      </c>
      <c r="R295" s="8">
        <f t="shared" si="68"/>
        <v>11</v>
      </c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>
        <v>1</v>
      </c>
      <c r="AK295" s="8"/>
      <c r="AL295" s="8"/>
      <c r="AM295" s="8"/>
      <c r="AN295" s="8"/>
      <c r="AO295" s="8"/>
      <c r="AP295" s="8">
        <v>1</v>
      </c>
      <c r="AQ295" s="8"/>
      <c r="AR295" s="8"/>
      <c r="AS295" s="8"/>
      <c r="AT295" s="8"/>
      <c r="AU295" s="8"/>
      <c r="AV295" s="8"/>
      <c r="AW295" s="8"/>
      <c r="AX295" s="8"/>
      <c r="AY295" s="8">
        <v>2</v>
      </c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>
        <v>2</v>
      </c>
      <c r="BK295" s="8"/>
      <c r="BL295" s="8">
        <v>1</v>
      </c>
      <c r="BM295" s="8"/>
      <c r="BN295" s="8"/>
      <c r="BO295" s="8"/>
      <c r="BP295" s="8"/>
      <c r="BQ295" s="8">
        <v>3</v>
      </c>
      <c r="BR295" s="8"/>
      <c r="BS295" s="8">
        <v>1</v>
      </c>
      <c r="BT295" s="8"/>
      <c r="BU295" s="8"/>
      <c r="BV295" s="8"/>
      <c r="BW295" s="8"/>
      <c r="BX295" s="8"/>
    </row>
    <row r="296" spans="1:76" ht="16.5" customHeight="1" x14ac:dyDescent="0.3">
      <c r="A296" t="s">
        <v>724</v>
      </c>
      <c r="B296" t="s">
        <v>656</v>
      </c>
      <c r="C296" t="s">
        <v>761</v>
      </c>
      <c r="D296" t="s">
        <v>761</v>
      </c>
      <c r="E296" t="s">
        <v>665</v>
      </c>
      <c r="F296" t="s">
        <v>727</v>
      </c>
      <c r="G296" s="5">
        <v>1494783</v>
      </c>
      <c r="H296" s="7" t="s">
        <v>267</v>
      </c>
      <c r="I296" s="5" t="s">
        <v>253</v>
      </c>
      <c r="J296" s="5">
        <v>1</v>
      </c>
      <c r="K296" s="5" t="s">
        <v>102</v>
      </c>
      <c r="L296" s="5" t="s">
        <v>109</v>
      </c>
      <c r="M296" s="5" t="s">
        <v>94</v>
      </c>
      <c r="N296" s="5" t="s">
        <v>268</v>
      </c>
      <c r="O296" s="4"/>
      <c r="P296" s="24">
        <f t="shared" si="66"/>
        <v>12</v>
      </c>
      <c r="Q296" s="8">
        <f t="shared" si="67"/>
        <v>0</v>
      </c>
      <c r="R296" s="8">
        <f t="shared" si="68"/>
        <v>12</v>
      </c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>
        <v>1</v>
      </c>
      <c r="AK296" s="8"/>
      <c r="AL296" s="8"/>
      <c r="AM296" s="8"/>
      <c r="AN296" s="8"/>
      <c r="AO296" s="8">
        <v>1</v>
      </c>
      <c r="AP296" s="8"/>
      <c r="AQ296" s="8"/>
      <c r="AR296" s="8"/>
      <c r="AS296" s="8"/>
      <c r="AT296" s="8"/>
      <c r="AU296" s="8"/>
      <c r="AV296" s="8"/>
      <c r="AW296" s="8"/>
      <c r="AX296" s="8">
        <v>1</v>
      </c>
      <c r="AY296" s="8">
        <v>2</v>
      </c>
      <c r="AZ296" s="8"/>
      <c r="BA296" s="8"/>
      <c r="BB296" s="8"/>
      <c r="BC296" s="8"/>
      <c r="BD296" s="8"/>
      <c r="BE296" s="8"/>
      <c r="BF296" s="8"/>
      <c r="BG296" s="8"/>
      <c r="BH296" s="8"/>
      <c r="BI296" s="8">
        <v>1</v>
      </c>
      <c r="BJ296" s="8"/>
      <c r="BK296" s="8">
        <v>1</v>
      </c>
      <c r="BL296" s="8"/>
      <c r="BM296" s="8"/>
      <c r="BN296" s="8"/>
      <c r="BO296" s="8"/>
      <c r="BP296" s="8">
        <v>2</v>
      </c>
      <c r="BQ296" s="8">
        <v>2</v>
      </c>
      <c r="BR296" s="8"/>
      <c r="BS296" s="8">
        <v>1</v>
      </c>
      <c r="BT296" s="8"/>
      <c r="BU296" s="8"/>
      <c r="BV296" s="8"/>
      <c r="BW296" s="8"/>
      <c r="BX296" s="8"/>
    </row>
    <row r="297" spans="1:76" ht="16.5" customHeight="1" x14ac:dyDescent="0.3">
      <c r="A297" t="s">
        <v>724</v>
      </c>
      <c r="B297" t="s">
        <v>656</v>
      </c>
      <c r="C297" t="s">
        <v>761</v>
      </c>
      <c r="D297" t="s">
        <v>761</v>
      </c>
      <c r="E297" t="s">
        <v>728</v>
      </c>
      <c r="F297" t="s">
        <v>728</v>
      </c>
      <c r="G297" s="5">
        <v>1494784</v>
      </c>
      <c r="H297" s="7" t="s">
        <v>269</v>
      </c>
      <c r="I297" s="5" t="s">
        <v>253</v>
      </c>
      <c r="J297" s="5">
        <v>1</v>
      </c>
      <c r="K297" s="5" t="s">
        <v>102</v>
      </c>
      <c r="L297" s="5" t="s">
        <v>109</v>
      </c>
      <c r="M297" s="5" t="s">
        <v>94</v>
      </c>
      <c r="N297" s="5" t="s">
        <v>268</v>
      </c>
      <c r="O297" s="4"/>
      <c r="P297" s="24">
        <f t="shared" si="66"/>
        <v>21</v>
      </c>
      <c r="Q297" s="8">
        <f t="shared" si="67"/>
        <v>0</v>
      </c>
      <c r="R297" s="8">
        <f t="shared" si="68"/>
        <v>21</v>
      </c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>
        <v>1</v>
      </c>
      <c r="AK297" s="8"/>
      <c r="AL297" s="8"/>
      <c r="AM297" s="8"/>
      <c r="AN297" s="8">
        <v>1</v>
      </c>
      <c r="AO297" s="8"/>
      <c r="AP297" s="8"/>
      <c r="AQ297" s="8"/>
      <c r="AR297" s="8"/>
      <c r="AS297" s="8"/>
      <c r="AT297" s="8">
        <v>1</v>
      </c>
      <c r="AU297" s="8"/>
      <c r="AV297" s="8"/>
      <c r="AW297" s="8">
        <v>1</v>
      </c>
      <c r="AX297" s="8"/>
      <c r="AY297" s="8">
        <v>1</v>
      </c>
      <c r="AZ297" s="8"/>
      <c r="BA297" s="8"/>
      <c r="BB297" s="8"/>
      <c r="BC297" s="8"/>
      <c r="BD297" s="8"/>
      <c r="BE297" s="8"/>
      <c r="BF297" s="8">
        <v>1</v>
      </c>
      <c r="BG297" s="8"/>
      <c r="BH297" s="8">
        <v>2</v>
      </c>
      <c r="BI297" s="8"/>
      <c r="BJ297" s="8">
        <v>1</v>
      </c>
      <c r="BK297" s="8">
        <v>1</v>
      </c>
      <c r="BL297" s="8">
        <v>1</v>
      </c>
      <c r="BM297" s="8"/>
      <c r="BN297" s="8"/>
      <c r="BO297" s="8"/>
      <c r="BP297" s="8"/>
      <c r="BQ297" s="8">
        <v>5</v>
      </c>
      <c r="BR297" s="8"/>
      <c r="BS297" s="8">
        <v>1</v>
      </c>
      <c r="BT297" s="8">
        <v>1</v>
      </c>
      <c r="BU297" s="8">
        <v>1</v>
      </c>
      <c r="BV297" s="8">
        <v>1</v>
      </c>
      <c r="BW297" s="8">
        <v>1</v>
      </c>
      <c r="BX297" s="8"/>
    </row>
    <row r="298" spans="1:76" ht="16.5" customHeight="1" x14ac:dyDescent="0.3">
      <c r="A298" t="s">
        <v>724</v>
      </c>
      <c r="B298" t="s">
        <v>656</v>
      </c>
      <c r="C298" t="s">
        <v>761</v>
      </c>
      <c r="D298" t="s">
        <v>761</v>
      </c>
      <c r="E298" t="s">
        <v>729</v>
      </c>
      <c r="F298" t="s">
        <v>729</v>
      </c>
      <c r="G298" s="5">
        <v>1494785</v>
      </c>
      <c r="H298" s="7" t="s">
        <v>270</v>
      </c>
      <c r="I298" s="5" t="s">
        <v>253</v>
      </c>
      <c r="J298" s="5">
        <v>1</v>
      </c>
      <c r="K298" s="5" t="s">
        <v>102</v>
      </c>
      <c r="L298" s="5" t="s">
        <v>109</v>
      </c>
      <c r="M298" s="5" t="s">
        <v>94</v>
      </c>
      <c r="N298" s="5" t="s">
        <v>268</v>
      </c>
      <c r="O298" s="4"/>
      <c r="P298" s="24">
        <f t="shared" si="66"/>
        <v>12</v>
      </c>
      <c r="Q298" s="8">
        <f t="shared" si="67"/>
        <v>0</v>
      </c>
      <c r="R298" s="8">
        <f t="shared" si="68"/>
        <v>12</v>
      </c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>
        <v>1</v>
      </c>
      <c r="AK298" s="8"/>
      <c r="AL298" s="8"/>
      <c r="AM298" s="8"/>
      <c r="AN298" s="8">
        <v>1</v>
      </c>
      <c r="AO298" s="8"/>
      <c r="AP298" s="8">
        <v>1</v>
      </c>
      <c r="AQ298" s="8"/>
      <c r="AR298" s="8"/>
      <c r="AS298" s="8"/>
      <c r="AT298" s="8"/>
      <c r="AU298" s="8"/>
      <c r="AV298" s="8"/>
      <c r="AW298" s="8"/>
      <c r="AX298" s="8"/>
      <c r="AY298" s="8">
        <v>4</v>
      </c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>
        <v>2</v>
      </c>
      <c r="BK298" s="8"/>
      <c r="BL298" s="8">
        <v>2</v>
      </c>
      <c r="BM298" s="8"/>
      <c r="BN298" s="8"/>
      <c r="BO298" s="8"/>
      <c r="BP298" s="8"/>
      <c r="BQ298" s="8">
        <v>1</v>
      </c>
      <c r="BR298" s="8"/>
      <c r="BS298" s="8"/>
      <c r="BT298" s="8"/>
      <c r="BU298" s="8"/>
      <c r="BV298" s="8"/>
      <c r="BW298" s="8"/>
      <c r="BX298" s="8"/>
    </row>
    <row r="299" spans="1:76" ht="16.5" customHeight="1" x14ac:dyDescent="0.3">
      <c r="A299" t="s">
        <v>724</v>
      </c>
      <c r="B299" t="s">
        <v>656</v>
      </c>
      <c r="C299" t="s">
        <v>761</v>
      </c>
      <c r="D299" t="s">
        <v>761</v>
      </c>
      <c r="E299" t="s">
        <v>730</v>
      </c>
      <c r="F299" t="s">
        <v>730</v>
      </c>
      <c r="G299" s="5">
        <v>1494897</v>
      </c>
      <c r="H299" s="7" t="s">
        <v>271</v>
      </c>
      <c r="I299" s="5" t="s">
        <v>253</v>
      </c>
      <c r="J299" s="5">
        <v>1</v>
      </c>
      <c r="K299" s="5" t="s">
        <v>102</v>
      </c>
      <c r="L299" s="5" t="s">
        <v>109</v>
      </c>
      <c r="M299" s="5" t="s">
        <v>94</v>
      </c>
      <c r="N299" s="5" t="s">
        <v>268</v>
      </c>
      <c r="O299" s="4"/>
      <c r="P299" s="24">
        <f t="shared" si="66"/>
        <v>15</v>
      </c>
      <c r="Q299" s="8">
        <f t="shared" si="67"/>
        <v>0</v>
      </c>
      <c r="R299" s="8">
        <f t="shared" si="68"/>
        <v>15</v>
      </c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>
        <v>1</v>
      </c>
      <c r="AG299" s="8"/>
      <c r="AH299" s="8"/>
      <c r="AI299" s="8"/>
      <c r="AJ299" s="8"/>
      <c r="AK299" s="8"/>
      <c r="AL299" s="8"/>
      <c r="AM299" s="8"/>
      <c r="AN299" s="8">
        <v>5</v>
      </c>
      <c r="AO299" s="8"/>
      <c r="AP299" s="8"/>
      <c r="AQ299" s="8"/>
      <c r="AR299" s="8"/>
      <c r="AS299" s="8"/>
      <c r="AT299" s="8"/>
      <c r="AU299" s="8"/>
      <c r="AV299" s="8"/>
      <c r="AW299" s="8">
        <v>6</v>
      </c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>
        <v>2</v>
      </c>
      <c r="BI299" s="8"/>
      <c r="BJ299" s="8"/>
      <c r="BK299" s="8"/>
      <c r="BL299" s="8"/>
      <c r="BM299" s="8"/>
      <c r="BN299" s="8"/>
      <c r="BO299" s="8">
        <v>1</v>
      </c>
      <c r="BP299" s="8"/>
      <c r="BQ299" s="8"/>
      <c r="BR299" s="8"/>
      <c r="BS299" s="8"/>
      <c r="BT299" s="8"/>
      <c r="BU299" s="8"/>
      <c r="BV299" s="8"/>
      <c r="BW299" s="8"/>
      <c r="BX299" s="8"/>
    </row>
    <row r="300" spans="1:76" ht="16.5" customHeight="1" x14ac:dyDescent="0.3">
      <c r="A300" t="s">
        <v>724</v>
      </c>
      <c r="B300" t="s">
        <v>656</v>
      </c>
      <c r="C300" t="s">
        <v>761</v>
      </c>
      <c r="D300" t="s">
        <v>761</v>
      </c>
      <c r="E300" t="s">
        <v>670</v>
      </c>
      <c r="F300" t="s">
        <v>670</v>
      </c>
      <c r="G300" s="5">
        <v>1494991</v>
      </c>
      <c r="H300" s="7" t="s">
        <v>273</v>
      </c>
      <c r="I300" s="5" t="s">
        <v>253</v>
      </c>
      <c r="J300" s="5">
        <v>1</v>
      </c>
      <c r="K300" s="5" t="s">
        <v>102</v>
      </c>
      <c r="L300" s="5" t="s">
        <v>109</v>
      </c>
      <c r="M300" s="5" t="s">
        <v>94</v>
      </c>
      <c r="N300" s="5" t="s">
        <v>268</v>
      </c>
      <c r="O300" s="4"/>
      <c r="P300" s="24">
        <f t="shared" si="66"/>
        <v>20</v>
      </c>
      <c r="Q300" s="8">
        <f t="shared" si="67"/>
        <v>0</v>
      </c>
      <c r="R300" s="8">
        <f t="shared" si="68"/>
        <v>20</v>
      </c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>
        <v>1</v>
      </c>
      <c r="AJ300" s="8"/>
      <c r="AK300" s="8"/>
      <c r="AL300" s="8"/>
      <c r="AM300" s="8"/>
      <c r="AN300" s="8">
        <v>8</v>
      </c>
      <c r="AO300" s="8"/>
      <c r="AP300" s="8"/>
      <c r="AQ300" s="8"/>
      <c r="AR300" s="8"/>
      <c r="AS300" s="8"/>
      <c r="AT300" s="8"/>
      <c r="AU300" s="8"/>
      <c r="AV300" s="8"/>
      <c r="AW300" s="8">
        <v>8</v>
      </c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>
        <v>2</v>
      </c>
      <c r="BI300" s="8"/>
      <c r="BJ300" s="8"/>
      <c r="BK300" s="8"/>
      <c r="BL300" s="8"/>
      <c r="BM300" s="8"/>
      <c r="BN300" s="8"/>
      <c r="BO300" s="8">
        <v>1</v>
      </c>
      <c r="BP300" s="8"/>
      <c r="BQ300" s="8"/>
      <c r="BR300" s="8"/>
      <c r="BS300" s="8"/>
      <c r="BT300" s="8"/>
      <c r="BU300" s="8"/>
      <c r="BV300" s="8"/>
      <c r="BW300" s="8"/>
      <c r="BX300" s="8"/>
    </row>
    <row r="301" spans="1:76" ht="16.5" customHeight="1" x14ac:dyDescent="0.3">
      <c r="A301" t="s">
        <v>724</v>
      </c>
      <c r="B301" t="s">
        <v>656</v>
      </c>
      <c r="C301" t="s">
        <v>761</v>
      </c>
      <c r="D301" t="s">
        <v>761</v>
      </c>
      <c r="E301" t="s">
        <v>731</v>
      </c>
      <c r="F301" t="s">
        <v>731</v>
      </c>
      <c r="G301" s="5">
        <v>1494995</v>
      </c>
      <c r="H301" s="7" t="s">
        <v>274</v>
      </c>
      <c r="I301" s="5" t="s">
        <v>253</v>
      </c>
      <c r="J301" s="5">
        <v>1</v>
      </c>
      <c r="K301" s="5" t="s">
        <v>102</v>
      </c>
      <c r="L301" s="5" t="s">
        <v>109</v>
      </c>
      <c r="M301" s="5" t="s">
        <v>94</v>
      </c>
      <c r="N301" s="5" t="s">
        <v>268</v>
      </c>
      <c r="O301" s="4"/>
      <c r="P301" s="24">
        <f t="shared" si="66"/>
        <v>17</v>
      </c>
      <c r="Q301" s="8">
        <f t="shared" si="67"/>
        <v>0</v>
      </c>
      <c r="R301" s="8">
        <f t="shared" si="68"/>
        <v>17</v>
      </c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>
        <v>1</v>
      </c>
      <c r="AJ301" s="8"/>
      <c r="AK301" s="8"/>
      <c r="AL301" s="8"/>
      <c r="AM301" s="8"/>
      <c r="AN301" s="8">
        <v>6</v>
      </c>
      <c r="AO301" s="8"/>
      <c r="AP301" s="8"/>
      <c r="AQ301" s="8"/>
      <c r="AR301" s="8"/>
      <c r="AS301" s="8"/>
      <c r="AT301" s="8"/>
      <c r="AU301" s="8"/>
      <c r="AV301" s="8"/>
      <c r="AW301" s="8">
        <v>7</v>
      </c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>
        <v>2</v>
      </c>
      <c r="BI301" s="8"/>
      <c r="BJ301" s="8"/>
      <c r="BK301" s="8"/>
      <c r="BL301" s="8"/>
      <c r="BM301" s="8"/>
      <c r="BN301" s="8"/>
      <c r="BO301" s="8">
        <v>1</v>
      </c>
      <c r="BP301" s="8"/>
      <c r="BQ301" s="8"/>
      <c r="BR301" s="8"/>
      <c r="BS301" s="8"/>
      <c r="BT301" s="8"/>
      <c r="BU301" s="8"/>
      <c r="BV301" s="8"/>
      <c r="BW301" s="8"/>
      <c r="BX301" s="8"/>
    </row>
    <row r="302" spans="1:76" ht="16.5" customHeight="1" x14ac:dyDescent="0.3">
      <c r="A302" t="s">
        <v>724</v>
      </c>
      <c r="B302" t="s">
        <v>656</v>
      </c>
      <c r="C302" t="s">
        <v>761</v>
      </c>
      <c r="D302" t="s">
        <v>761</v>
      </c>
      <c r="E302" t="s">
        <v>732</v>
      </c>
      <c r="F302" t="s">
        <v>732</v>
      </c>
      <c r="G302" s="5">
        <v>1495002</v>
      </c>
      <c r="H302" s="7" t="s">
        <v>276</v>
      </c>
      <c r="I302" s="5" t="s">
        <v>253</v>
      </c>
      <c r="J302" s="5">
        <v>1</v>
      </c>
      <c r="K302" s="5" t="s">
        <v>102</v>
      </c>
      <c r="L302" s="5" t="s">
        <v>109</v>
      </c>
      <c r="M302" s="5" t="s">
        <v>94</v>
      </c>
      <c r="N302" s="5" t="s">
        <v>268</v>
      </c>
      <c r="O302" s="4"/>
      <c r="P302" s="24">
        <f t="shared" si="66"/>
        <v>17</v>
      </c>
      <c r="Q302" s="8">
        <f t="shared" si="67"/>
        <v>0</v>
      </c>
      <c r="R302" s="8">
        <f t="shared" si="68"/>
        <v>17</v>
      </c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>
        <v>1</v>
      </c>
      <c r="AF302" s="8"/>
      <c r="AG302" s="8"/>
      <c r="AH302" s="8"/>
      <c r="AI302" s="8"/>
      <c r="AJ302" s="8"/>
      <c r="AK302" s="8"/>
      <c r="AL302" s="8"/>
      <c r="AM302" s="8"/>
      <c r="AN302" s="8">
        <v>5</v>
      </c>
      <c r="AO302" s="8"/>
      <c r="AP302" s="8"/>
      <c r="AQ302" s="8">
        <v>1</v>
      </c>
      <c r="AR302" s="8"/>
      <c r="AS302" s="8"/>
      <c r="AT302" s="8"/>
      <c r="AU302" s="8"/>
      <c r="AV302" s="8"/>
      <c r="AW302" s="8">
        <v>4</v>
      </c>
      <c r="AX302" s="8"/>
      <c r="AY302" s="8"/>
      <c r="AZ302" s="8">
        <v>2</v>
      </c>
      <c r="BA302" s="8"/>
      <c r="BB302" s="8"/>
      <c r="BC302" s="8"/>
      <c r="BD302" s="8"/>
      <c r="BE302" s="8"/>
      <c r="BF302" s="8"/>
      <c r="BG302" s="8"/>
      <c r="BH302" s="8">
        <v>3</v>
      </c>
      <c r="BI302" s="8"/>
      <c r="BJ302" s="8"/>
      <c r="BK302" s="8"/>
      <c r="BL302" s="8"/>
      <c r="BM302" s="8"/>
      <c r="BN302" s="8"/>
      <c r="BO302" s="8">
        <v>1</v>
      </c>
      <c r="BP302" s="8"/>
      <c r="BQ302" s="8"/>
      <c r="BR302" s="8"/>
      <c r="BS302" s="8"/>
      <c r="BT302" s="8"/>
      <c r="BU302" s="8"/>
      <c r="BV302" s="8"/>
      <c r="BW302" s="8"/>
      <c r="BX302" s="8"/>
    </row>
    <row r="303" spans="1:76" ht="16.5" customHeight="1" x14ac:dyDescent="0.3">
      <c r="A303" t="s">
        <v>724</v>
      </c>
      <c r="B303" t="s">
        <v>656</v>
      </c>
      <c r="C303" t="s">
        <v>761</v>
      </c>
      <c r="D303" t="s">
        <v>761</v>
      </c>
      <c r="E303" t="s">
        <v>733</v>
      </c>
      <c r="F303" t="s">
        <v>733</v>
      </c>
      <c r="G303" s="5">
        <v>1495009</v>
      </c>
      <c r="H303" s="7" t="s">
        <v>277</v>
      </c>
      <c r="I303" s="5" t="s">
        <v>253</v>
      </c>
      <c r="J303" s="5">
        <v>1</v>
      </c>
      <c r="K303" s="5" t="s">
        <v>102</v>
      </c>
      <c r="L303" s="5" t="s">
        <v>109</v>
      </c>
      <c r="M303" s="5" t="s">
        <v>94</v>
      </c>
      <c r="N303" s="5" t="s">
        <v>268</v>
      </c>
      <c r="O303" s="4"/>
      <c r="P303" s="24">
        <f t="shared" si="66"/>
        <v>27</v>
      </c>
      <c r="Q303" s="8">
        <f t="shared" si="67"/>
        <v>0</v>
      </c>
      <c r="R303" s="8">
        <f t="shared" si="68"/>
        <v>27</v>
      </c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>
        <v>1</v>
      </c>
      <c r="AH303" s="8"/>
      <c r="AI303" s="8"/>
      <c r="AJ303" s="8"/>
      <c r="AK303" s="8">
        <v>1</v>
      </c>
      <c r="AL303" s="8"/>
      <c r="AM303" s="8"/>
      <c r="AN303" s="8">
        <v>1</v>
      </c>
      <c r="AO303" s="8"/>
      <c r="AP303" s="8"/>
      <c r="AQ303" s="8">
        <v>9</v>
      </c>
      <c r="AR303" s="8"/>
      <c r="AS303" s="8"/>
      <c r="AT303" s="8"/>
      <c r="AU303" s="8"/>
      <c r="AV303" s="8"/>
      <c r="AW303" s="8"/>
      <c r="AX303" s="8"/>
      <c r="AY303" s="8"/>
      <c r="AZ303" s="8">
        <v>10</v>
      </c>
      <c r="BA303" s="8"/>
      <c r="BB303" s="8"/>
      <c r="BC303" s="8"/>
      <c r="BD303" s="8">
        <v>1</v>
      </c>
      <c r="BE303" s="8">
        <v>2</v>
      </c>
      <c r="BF303" s="8"/>
      <c r="BG303" s="8"/>
      <c r="BH303" s="8">
        <v>2</v>
      </c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</row>
    <row r="304" spans="1:76" ht="16.5" customHeight="1" x14ac:dyDescent="0.3">
      <c r="A304" t="s">
        <v>724</v>
      </c>
      <c r="B304" t="s">
        <v>656</v>
      </c>
      <c r="C304" t="s">
        <v>761</v>
      </c>
      <c r="D304" t="s">
        <v>761</v>
      </c>
      <c r="E304" t="s">
        <v>734</v>
      </c>
      <c r="F304" t="s">
        <v>734</v>
      </c>
      <c r="G304" s="5">
        <v>1495016</v>
      </c>
      <c r="H304" s="7" t="s">
        <v>278</v>
      </c>
      <c r="I304" s="5" t="s">
        <v>253</v>
      </c>
      <c r="J304" s="5">
        <v>1</v>
      </c>
      <c r="K304" s="5" t="s">
        <v>102</v>
      </c>
      <c r="L304" s="5" t="s">
        <v>109</v>
      </c>
      <c r="M304" s="5" t="s">
        <v>94</v>
      </c>
      <c r="N304" s="5" t="s">
        <v>268</v>
      </c>
      <c r="O304" s="4"/>
      <c r="P304" s="24">
        <f t="shared" si="66"/>
        <v>14</v>
      </c>
      <c r="Q304" s="8">
        <f t="shared" si="67"/>
        <v>0</v>
      </c>
      <c r="R304" s="8">
        <f t="shared" si="68"/>
        <v>14</v>
      </c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>
        <v>1</v>
      </c>
      <c r="AJ304" s="8"/>
      <c r="AK304" s="8"/>
      <c r="AL304" s="8"/>
      <c r="AM304" s="8"/>
      <c r="AN304" s="8"/>
      <c r="AO304" s="8"/>
      <c r="AP304" s="8"/>
      <c r="AQ304" s="8">
        <v>4</v>
      </c>
      <c r="AR304" s="8"/>
      <c r="AS304" s="8"/>
      <c r="AT304" s="8"/>
      <c r="AU304" s="8">
        <v>1</v>
      </c>
      <c r="AV304" s="8"/>
      <c r="AW304" s="8">
        <v>1</v>
      </c>
      <c r="AX304" s="8"/>
      <c r="AY304" s="8"/>
      <c r="AZ304" s="8">
        <v>5</v>
      </c>
      <c r="BA304" s="8"/>
      <c r="BB304" s="8"/>
      <c r="BC304" s="8"/>
      <c r="BD304" s="8">
        <v>2</v>
      </c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</row>
    <row r="305" spans="1:76" ht="16.5" customHeight="1" x14ac:dyDescent="0.3">
      <c r="A305" t="s">
        <v>724</v>
      </c>
      <c r="B305" t="s">
        <v>656</v>
      </c>
      <c r="C305" t="s">
        <v>761</v>
      </c>
      <c r="D305" t="s">
        <v>761</v>
      </c>
      <c r="E305" t="s">
        <v>735</v>
      </c>
      <c r="F305" t="s">
        <v>735</v>
      </c>
      <c r="G305" s="5">
        <v>1495023</v>
      </c>
      <c r="H305" s="7" t="s">
        <v>279</v>
      </c>
      <c r="I305" s="5" t="s">
        <v>253</v>
      </c>
      <c r="J305" s="5">
        <v>1</v>
      </c>
      <c r="K305" s="5" t="s">
        <v>102</v>
      </c>
      <c r="L305" s="5" t="s">
        <v>109</v>
      </c>
      <c r="M305" s="5" t="s">
        <v>94</v>
      </c>
      <c r="N305" s="5" t="s">
        <v>268</v>
      </c>
      <c r="O305" s="4"/>
      <c r="P305" s="24">
        <f t="shared" si="66"/>
        <v>10</v>
      </c>
      <c r="Q305" s="8">
        <f t="shared" si="67"/>
        <v>0</v>
      </c>
      <c r="R305" s="8">
        <f t="shared" si="68"/>
        <v>10</v>
      </c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>
        <v>1</v>
      </c>
      <c r="AL305" s="8"/>
      <c r="AM305" s="8"/>
      <c r="AN305" s="8"/>
      <c r="AO305" s="8"/>
      <c r="AP305" s="8"/>
      <c r="AQ305" s="8">
        <v>2</v>
      </c>
      <c r="AR305" s="8"/>
      <c r="AS305" s="8"/>
      <c r="AT305" s="8"/>
      <c r="AU305" s="8"/>
      <c r="AV305" s="8">
        <v>1</v>
      </c>
      <c r="AW305" s="8"/>
      <c r="AX305" s="8"/>
      <c r="AY305" s="8"/>
      <c r="AZ305" s="8">
        <v>4</v>
      </c>
      <c r="BA305" s="8"/>
      <c r="BB305" s="8"/>
      <c r="BC305" s="8"/>
      <c r="BD305" s="8"/>
      <c r="BE305" s="8">
        <v>1</v>
      </c>
      <c r="BF305" s="8"/>
      <c r="BG305" s="8"/>
      <c r="BH305" s="8">
        <v>1</v>
      </c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</row>
    <row r="306" spans="1:76" ht="16.5" customHeight="1" x14ac:dyDescent="0.3">
      <c r="A306" t="s">
        <v>724</v>
      </c>
      <c r="B306" t="s">
        <v>656</v>
      </c>
      <c r="C306" t="s">
        <v>761</v>
      </c>
      <c r="D306" t="s">
        <v>761</v>
      </c>
      <c r="E306" t="s">
        <v>736</v>
      </c>
      <c r="F306" t="s">
        <v>736</v>
      </c>
      <c r="G306" s="5">
        <v>1495030</v>
      </c>
      <c r="H306" s="7" t="s">
        <v>217</v>
      </c>
      <c r="I306" s="5" t="s">
        <v>253</v>
      </c>
      <c r="J306" s="5">
        <v>1</v>
      </c>
      <c r="K306" s="5" t="s">
        <v>102</v>
      </c>
      <c r="L306" s="5" t="s">
        <v>109</v>
      </c>
      <c r="M306" s="5" t="s">
        <v>94</v>
      </c>
      <c r="N306" s="5" t="s">
        <v>268</v>
      </c>
      <c r="O306" s="4"/>
      <c r="P306" s="24">
        <f t="shared" si="66"/>
        <v>16</v>
      </c>
      <c r="Q306" s="8">
        <f t="shared" si="67"/>
        <v>0</v>
      </c>
      <c r="R306" s="8">
        <f t="shared" si="68"/>
        <v>16</v>
      </c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>
        <v>1</v>
      </c>
      <c r="AL306" s="8"/>
      <c r="AM306" s="8"/>
      <c r="AN306" s="8"/>
      <c r="AO306" s="8"/>
      <c r="AP306" s="8"/>
      <c r="AQ306" s="8">
        <v>4</v>
      </c>
      <c r="AR306" s="8"/>
      <c r="AS306" s="8"/>
      <c r="AT306" s="8"/>
      <c r="AU306" s="8">
        <v>2</v>
      </c>
      <c r="AV306" s="8"/>
      <c r="AW306" s="8"/>
      <c r="AX306" s="8"/>
      <c r="AY306" s="8"/>
      <c r="AZ306" s="8">
        <v>5</v>
      </c>
      <c r="BA306" s="8"/>
      <c r="BB306" s="8"/>
      <c r="BC306" s="8"/>
      <c r="BD306" s="8">
        <v>1</v>
      </c>
      <c r="BE306" s="8">
        <v>1</v>
      </c>
      <c r="BF306" s="8"/>
      <c r="BG306" s="8"/>
      <c r="BH306" s="8">
        <v>2</v>
      </c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</row>
    <row r="307" spans="1:76" ht="16.5" customHeight="1" x14ac:dyDescent="0.3">
      <c r="G307" s="14">
        <v>1494136</v>
      </c>
      <c r="H307" s="15" t="s">
        <v>391</v>
      </c>
      <c r="I307" s="14" t="s">
        <v>253</v>
      </c>
      <c r="J307" s="14">
        <v>2</v>
      </c>
      <c r="K307" s="14" t="s">
        <v>254</v>
      </c>
      <c r="L307" s="14" t="s">
        <v>255</v>
      </c>
      <c r="M307" s="14" t="s">
        <v>94</v>
      </c>
      <c r="N307" s="14" t="s">
        <v>110</v>
      </c>
      <c r="O307" s="13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</row>
    <row r="308" spans="1:76" ht="16.5" customHeight="1" x14ac:dyDescent="0.3">
      <c r="A308" t="s">
        <v>724</v>
      </c>
      <c r="B308" t="s">
        <v>656</v>
      </c>
      <c r="C308" t="s">
        <v>761</v>
      </c>
      <c r="D308" t="s">
        <v>764</v>
      </c>
      <c r="E308" t="s">
        <v>764</v>
      </c>
      <c r="F308" t="s">
        <v>764</v>
      </c>
      <c r="G308" s="5">
        <v>1494136</v>
      </c>
      <c r="H308" s="38" t="s">
        <v>392</v>
      </c>
      <c r="I308" s="5" t="s">
        <v>253</v>
      </c>
      <c r="J308" s="5">
        <v>2</v>
      </c>
      <c r="K308" s="5" t="s">
        <v>254</v>
      </c>
      <c r="L308" s="5" t="s">
        <v>255</v>
      </c>
      <c r="M308" s="5" t="s">
        <v>94</v>
      </c>
      <c r="N308" s="5" t="s">
        <v>110</v>
      </c>
      <c r="O308" s="4"/>
      <c r="P308" s="24">
        <f t="shared" ref="P308:P315" si="69">SUM(Q308,R308)</f>
        <v>1</v>
      </c>
      <c r="Q308" s="8">
        <f t="shared" ref="Q308:Q315" si="70">S308</f>
        <v>0</v>
      </c>
      <c r="R308" s="8">
        <f t="shared" ref="R308:R315" si="71">SUM(T308:BX308)</f>
        <v>1</v>
      </c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>
        <v>1</v>
      </c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</row>
    <row r="309" spans="1:76" ht="16.5" customHeight="1" x14ac:dyDescent="0.3">
      <c r="A309" t="s">
        <v>724</v>
      </c>
      <c r="B309" t="s">
        <v>656</v>
      </c>
      <c r="C309" t="s">
        <v>761</v>
      </c>
      <c r="D309" t="s">
        <v>764</v>
      </c>
      <c r="E309" t="s">
        <v>765</v>
      </c>
      <c r="F309" t="s">
        <v>765</v>
      </c>
      <c r="G309" s="5">
        <v>1494231</v>
      </c>
      <c r="H309" s="7" t="s">
        <v>393</v>
      </c>
      <c r="I309" s="5" t="s">
        <v>253</v>
      </c>
      <c r="J309" s="5">
        <v>2</v>
      </c>
      <c r="K309" s="5" t="s">
        <v>102</v>
      </c>
      <c r="L309" s="5" t="s">
        <v>109</v>
      </c>
      <c r="M309" s="5" t="s">
        <v>94</v>
      </c>
      <c r="N309" s="5" t="s">
        <v>283</v>
      </c>
      <c r="O309" s="4"/>
      <c r="P309" s="24">
        <f t="shared" si="69"/>
        <v>62</v>
      </c>
      <c r="Q309" s="8">
        <f t="shared" si="70"/>
        <v>0</v>
      </c>
      <c r="R309" s="8">
        <f t="shared" si="71"/>
        <v>62</v>
      </c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>
        <v>1</v>
      </c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>
        <v>5</v>
      </c>
      <c r="AQ309" s="8"/>
      <c r="AR309" s="8"/>
      <c r="AS309" s="8"/>
      <c r="AT309" s="8"/>
      <c r="AU309" s="8"/>
      <c r="AV309" s="8"/>
      <c r="AW309" s="8">
        <v>1</v>
      </c>
      <c r="AX309" s="8"/>
      <c r="AY309" s="8">
        <v>10</v>
      </c>
      <c r="AZ309" s="8"/>
      <c r="BA309" s="8"/>
      <c r="BB309" s="8"/>
      <c r="BC309" s="8">
        <v>1</v>
      </c>
      <c r="BD309" s="8"/>
      <c r="BE309" s="8"/>
      <c r="BF309" s="8"/>
      <c r="BG309" s="8"/>
      <c r="BH309" s="8">
        <v>3</v>
      </c>
      <c r="BI309" s="8"/>
      <c r="BJ309" s="8">
        <v>16</v>
      </c>
      <c r="BK309" s="8"/>
      <c r="BL309" s="8">
        <v>3</v>
      </c>
      <c r="BM309" s="8"/>
      <c r="BN309" s="8"/>
      <c r="BO309" s="8"/>
      <c r="BP309" s="8"/>
      <c r="BQ309" s="8">
        <v>16</v>
      </c>
      <c r="BR309" s="8"/>
      <c r="BS309" s="8">
        <v>6</v>
      </c>
      <c r="BT309" s="8"/>
      <c r="BU309" s="8"/>
      <c r="BV309" s="8"/>
      <c r="BW309" s="8"/>
      <c r="BX309" s="8"/>
    </row>
    <row r="310" spans="1:76" ht="16.5" customHeight="1" x14ac:dyDescent="0.3">
      <c r="A310" t="s">
        <v>724</v>
      </c>
      <c r="B310" t="s">
        <v>656</v>
      </c>
      <c r="C310" t="s">
        <v>761</v>
      </c>
      <c r="D310" t="s">
        <v>764</v>
      </c>
      <c r="E310" t="s">
        <v>665</v>
      </c>
      <c r="F310" t="s">
        <v>727</v>
      </c>
      <c r="G310" s="5">
        <v>1494842</v>
      </c>
      <c r="H310" s="7" t="s">
        <v>284</v>
      </c>
      <c r="I310" s="5" t="s">
        <v>253</v>
      </c>
      <c r="J310" s="5">
        <v>2</v>
      </c>
      <c r="K310" s="5" t="s">
        <v>102</v>
      </c>
      <c r="L310" s="5" t="s">
        <v>109</v>
      </c>
      <c r="M310" s="5" t="s">
        <v>94</v>
      </c>
      <c r="N310" s="5" t="s">
        <v>285</v>
      </c>
      <c r="O310" s="4"/>
      <c r="P310" s="24">
        <f t="shared" si="69"/>
        <v>17</v>
      </c>
      <c r="Q310" s="8">
        <f t="shared" si="70"/>
        <v>0</v>
      </c>
      <c r="R310" s="8">
        <f t="shared" si="71"/>
        <v>17</v>
      </c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>
        <v>1</v>
      </c>
      <c r="AK310" s="8"/>
      <c r="AL310" s="8"/>
      <c r="AM310" s="8"/>
      <c r="AN310" s="8">
        <v>1</v>
      </c>
      <c r="AO310" s="8"/>
      <c r="AP310" s="8">
        <v>1</v>
      </c>
      <c r="AQ310" s="8"/>
      <c r="AR310" s="8"/>
      <c r="AS310" s="8"/>
      <c r="AT310" s="8"/>
      <c r="AU310" s="8"/>
      <c r="AV310" s="8"/>
      <c r="AW310" s="8">
        <v>2</v>
      </c>
      <c r="AX310" s="8"/>
      <c r="AY310" s="8">
        <v>1</v>
      </c>
      <c r="AZ310" s="8"/>
      <c r="BA310" s="8"/>
      <c r="BB310" s="8"/>
      <c r="BC310" s="8"/>
      <c r="BD310" s="8"/>
      <c r="BE310" s="8"/>
      <c r="BF310" s="8"/>
      <c r="BG310" s="8"/>
      <c r="BH310" s="8">
        <v>1</v>
      </c>
      <c r="BI310" s="8"/>
      <c r="BJ310" s="8">
        <v>3</v>
      </c>
      <c r="BK310" s="8"/>
      <c r="BL310" s="8">
        <v>1</v>
      </c>
      <c r="BM310" s="8"/>
      <c r="BN310" s="8"/>
      <c r="BO310" s="8"/>
      <c r="BP310" s="8"/>
      <c r="BQ310" s="8">
        <v>2</v>
      </c>
      <c r="BR310" s="8"/>
      <c r="BS310" s="8">
        <v>1</v>
      </c>
      <c r="BT310" s="8">
        <v>1</v>
      </c>
      <c r="BU310" s="8">
        <v>1</v>
      </c>
      <c r="BV310" s="8">
        <v>1</v>
      </c>
      <c r="BW310" s="8"/>
      <c r="BX310" s="8"/>
    </row>
    <row r="311" spans="1:76" ht="16.5" customHeight="1" x14ac:dyDescent="0.3">
      <c r="A311" t="s">
        <v>724</v>
      </c>
      <c r="B311" t="s">
        <v>656</v>
      </c>
      <c r="C311" t="s">
        <v>761</v>
      </c>
      <c r="D311" t="s">
        <v>764</v>
      </c>
      <c r="E311" t="s">
        <v>670</v>
      </c>
      <c r="F311" t="s">
        <v>670</v>
      </c>
      <c r="G311" s="5">
        <v>1495075</v>
      </c>
      <c r="H311" s="7" t="s">
        <v>288</v>
      </c>
      <c r="I311" s="5" t="s">
        <v>253</v>
      </c>
      <c r="J311" s="5">
        <v>2</v>
      </c>
      <c r="K311" s="5" t="s">
        <v>102</v>
      </c>
      <c r="L311" s="5" t="s">
        <v>109</v>
      </c>
      <c r="M311" s="5" t="s">
        <v>94</v>
      </c>
      <c r="N311" s="5" t="s">
        <v>285</v>
      </c>
      <c r="O311" s="4"/>
      <c r="P311" s="24">
        <f t="shared" si="69"/>
        <v>26</v>
      </c>
      <c r="Q311" s="8">
        <f t="shared" si="70"/>
        <v>0</v>
      </c>
      <c r="R311" s="8">
        <f t="shared" si="71"/>
        <v>26</v>
      </c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>
        <v>1</v>
      </c>
      <c r="AJ311" s="8"/>
      <c r="AK311" s="8"/>
      <c r="AL311" s="8"/>
      <c r="AM311" s="8"/>
      <c r="AN311" s="8">
        <v>10</v>
      </c>
      <c r="AO311" s="8"/>
      <c r="AP311" s="8"/>
      <c r="AQ311" s="8"/>
      <c r="AR311" s="8"/>
      <c r="AS311" s="8"/>
      <c r="AT311" s="8"/>
      <c r="AU311" s="8"/>
      <c r="AV311" s="8"/>
      <c r="AW311" s="8">
        <v>11</v>
      </c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>
        <v>3</v>
      </c>
      <c r="BI311" s="8"/>
      <c r="BJ311" s="8"/>
      <c r="BK311" s="8"/>
      <c r="BL311" s="8"/>
      <c r="BM311" s="8"/>
      <c r="BN311" s="8"/>
      <c r="BO311" s="8">
        <v>1</v>
      </c>
      <c r="BP311" s="8"/>
      <c r="BQ311" s="8"/>
      <c r="BR311" s="8"/>
      <c r="BS311" s="8"/>
      <c r="BT311" s="8"/>
      <c r="BU311" s="8"/>
      <c r="BV311" s="8"/>
      <c r="BW311" s="8"/>
      <c r="BX311" s="8"/>
    </row>
    <row r="312" spans="1:76" ht="16.5" customHeight="1" x14ac:dyDescent="0.3">
      <c r="A312" t="s">
        <v>724</v>
      </c>
      <c r="B312" t="s">
        <v>656</v>
      </c>
      <c r="C312" t="s">
        <v>761</v>
      </c>
      <c r="D312" t="s">
        <v>764</v>
      </c>
      <c r="E312" t="s">
        <v>731</v>
      </c>
      <c r="F312" t="s">
        <v>731</v>
      </c>
      <c r="G312" s="5">
        <v>1495095</v>
      </c>
      <c r="H312" s="7" t="s">
        <v>289</v>
      </c>
      <c r="I312" s="5" t="s">
        <v>253</v>
      </c>
      <c r="J312" s="5">
        <v>2</v>
      </c>
      <c r="K312" s="5" t="s">
        <v>102</v>
      </c>
      <c r="L312" s="5" t="s">
        <v>109</v>
      </c>
      <c r="M312" s="5" t="s">
        <v>94</v>
      </c>
      <c r="N312" s="5" t="s">
        <v>285</v>
      </c>
      <c r="O312" s="4"/>
      <c r="P312" s="24">
        <f t="shared" si="69"/>
        <v>22</v>
      </c>
      <c r="Q312" s="8">
        <f t="shared" si="70"/>
        <v>0</v>
      </c>
      <c r="R312" s="8">
        <f t="shared" si="71"/>
        <v>22</v>
      </c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>
        <v>1</v>
      </c>
      <c r="AJ312" s="8"/>
      <c r="AK312" s="8"/>
      <c r="AL312" s="8"/>
      <c r="AM312" s="8"/>
      <c r="AN312" s="8">
        <v>8</v>
      </c>
      <c r="AO312" s="8"/>
      <c r="AP312" s="8"/>
      <c r="AQ312" s="8"/>
      <c r="AR312" s="8"/>
      <c r="AS312" s="8"/>
      <c r="AT312" s="8"/>
      <c r="AU312" s="8"/>
      <c r="AV312" s="8"/>
      <c r="AW312" s="8">
        <v>10</v>
      </c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>
        <v>2</v>
      </c>
      <c r="BI312" s="8"/>
      <c r="BJ312" s="8"/>
      <c r="BK312" s="8"/>
      <c r="BL312" s="8"/>
      <c r="BM312" s="8"/>
      <c r="BN312" s="8"/>
      <c r="BO312" s="8">
        <v>1</v>
      </c>
      <c r="BP312" s="8"/>
      <c r="BQ312" s="8"/>
      <c r="BR312" s="8"/>
      <c r="BS312" s="8"/>
      <c r="BT312" s="8"/>
      <c r="BU312" s="8"/>
      <c r="BV312" s="8"/>
      <c r="BW312" s="8"/>
      <c r="BX312" s="8"/>
    </row>
    <row r="313" spans="1:76" ht="16.5" customHeight="1" x14ac:dyDescent="0.3">
      <c r="A313" t="s">
        <v>724</v>
      </c>
      <c r="B313" t="s">
        <v>656</v>
      </c>
      <c r="C313" t="s">
        <v>761</v>
      </c>
      <c r="D313" t="s">
        <v>764</v>
      </c>
      <c r="E313" t="s">
        <v>741</v>
      </c>
      <c r="F313" t="s">
        <v>741</v>
      </c>
      <c r="G313" s="5">
        <v>1495126</v>
      </c>
      <c r="H313" s="7" t="s">
        <v>291</v>
      </c>
      <c r="I313" s="5" t="s">
        <v>253</v>
      </c>
      <c r="J313" s="5">
        <v>2</v>
      </c>
      <c r="K313" s="5" t="s">
        <v>102</v>
      </c>
      <c r="L313" s="5" t="s">
        <v>109</v>
      </c>
      <c r="M313" s="5" t="s">
        <v>94</v>
      </c>
      <c r="N313" s="5" t="s">
        <v>285</v>
      </c>
      <c r="O313" s="4"/>
      <c r="P313" s="24">
        <f t="shared" si="69"/>
        <v>10</v>
      </c>
      <c r="Q313" s="8">
        <f t="shared" si="70"/>
        <v>0</v>
      </c>
      <c r="R313" s="8">
        <f t="shared" si="71"/>
        <v>10</v>
      </c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>
        <v>1</v>
      </c>
      <c r="AJ313" s="8"/>
      <c r="AK313" s="8"/>
      <c r="AL313" s="8"/>
      <c r="AM313" s="8"/>
      <c r="AN313" s="8">
        <v>4</v>
      </c>
      <c r="AO313" s="8"/>
      <c r="AP313" s="8"/>
      <c r="AQ313" s="8"/>
      <c r="AR313" s="8"/>
      <c r="AS313" s="8"/>
      <c r="AT313" s="8"/>
      <c r="AU313" s="8"/>
      <c r="AV313" s="8"/>
      <c r="AW313" s="8">
        <v>4</v>
      </c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>
        <v>1</v>
      </c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</row>
    <row r="314" spans="1:76" ht="16.5" customHeight="1" x14ac:dyDescent="0.3">
      <c r="A314" t="s">
        <v>724</v>
      </c>
      <c r="B314" t="s">
        <v>656</v>
      </c>
      <c r="C314" t="s">
        <v>761</v>
      </c>
      <c r="D314" t="s">
        <v>764</v>
      </c>
      <c r="E314" t="s">
        <v>734</v>
      </c>
      <c r="F314" t="s">
        <v>734</v>
      </c>
      <c r="G314" s="5">
        <v>1495161</v>
      </c>
      <c r="H314" s="7" t="s">
        <v>297</v>
      </c>
      <c r="I314" s="5" t="s">
        <v>253</v>
      </c>
      <c r="J314" s="5">
        <v>2</v>
      </c>
      <c r="K314" s="5" t="s">
        <v>102</v>
      </c>
      <c r="L314" s="5" t="s">
        <v>109</v>
      </c>
      <c r="M314" s="5" t="s">
        <v>94</v>
      </c>
      <c r="N314" s="5" t="s">
        <v>285</v>
      </c>
      <c r="O314" s="4"/>
      <c r="P314" s="24">
        <f t="shared" si="69"/>
        <v>5</v>
      </c>
      <c r="Q314" s="8">
        <f t="shared" si="70"/>
        <v>0</v>
      </c>
      <c r="R314" s="8">
        <f t="shared" si="71"/>
        <v>5</v>
      </c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>
        <v>1</v>
      </c>
      <c r="AL314" s="8"/>
      <c r="AM314" s="8"/>
      <c r="AN314" s="8"/>
      <c r="AO314" s="8"/>
      <c r="AP314" s="8"/>
      <c r="AQ314" s="8">
        <v>2</v>
      </c>
      <c r="AR314" s="8"/>
      <c r="AS314" s="8"/>
      <c r="AT314" s="8"/>
      <c r="AU314" s="8"/>
      <c r="AV314" s="8"/>
      <c r="AW314" s="8"/>
      <c r="AX314" s="8"/>
      <c r="AY314" s="8"/>
      <c r="AZ314" s="8">
        <v>2</v>
      </c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</row>
    <row r="315" spans="1:76" ht="16.5" customHeight="1" x14ac:dyDescent="0.3">
      <c r="A315" t="s">
        <v>724</v>
      </c>
      <c r="B315" t="s">
        <v>656</v>
      </c>
      <c r="C315" t="s">
        <v>761</v>
      </c>
      <c r="D315" t="s">
        <v>764</v>
      </c>
      <c r="E315" t="s">
        <v>735</v>
      </c>
      <c r="F315" t="s">
        <v>735</v>
      </c>
      <c r="G315" s="5">
        <v>1495193</v>
      </c>
      <c r="H315" s="7" t="s">
        <v>292</v>
      </c>
      <c r="I315" s="5" t="s">
        <v>253</v>
      </c>
      <c r="J315" s="5">
        <v>2</v>
      </c>
      <c r="K315" s="5" t="s">
        <v>102</v>
      </c>
      <c r="L315" s="5" t="s">
        <v>109</v>
      </c>
      <c r="M315" s="5" t="s">
        <v>94</v>
      </c>
      <c r="N315" s="5" t="s">
        <v>285</v>
      </c>
      <c r="O315" s="4"/>
      <c r="P315" s="24">
        <f t="shared" si="69"/>
        <v>14</v>
      </c>
      <c r="Q315" s="8">
        <f t="shared" si="70"/>
        <v>0</v>
      </c>
      <c r="R315" s="8">
        <f t="shared" si="71"/>
        <v>14</v>
      </c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>
        <v>1</v>
      </c>
      <c r="AK315" s="8"/>
      <c r="AL315" s="8"/>
      <c r="AM315" s="8"/>
      <c r="AN315" s="8"/>
      <c r="AO315" s="8"/>
      <c r="AP315" s="8"/>
      <c r="AQ315" s="8">
        <v>5</v>
      </c>
      <c r="AR315" s="8"/>
      <c r="AS315" s="8"/>
      <c r="AT315" s="8"/>
      <c r="AU315" s="8">
        <v>1</v>
      </c>
      <c r="AV315" s="8">
        <v>1</v>
      </c>
      <c r="AW315" s="8"/>
      <c r="AX315" s="8"/>
      <c r="AY315" s="8"/>
      <c r="AZ315" s="8">
        <v>3</v>
      </c>
      <c r="BA315" s="8"/>
      <c r="BB315" s="8"/>
      <c r="BC315" s="8"/>
      <c r="BD315" s="8">
        <v>1</v>
      </c>
      <c r="BE315" s="8"/>
      <c r="BF315" s="8"/>
      <c r="BG315" s="8"/>
      <c r="BH315" s="8">
        <v>2</v>
      </c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</row>
    <row r="316" spans="1:76" ht="16.5" customHeight="1" x14ac:dyDescent="0.3">
      <c r="G316" s="14">
        <v>1494234</v>
      </c>
      <c r="H316" s="15" t="s">
        <v>394</v>
      </c>
      <c r="I316" s="14" t="s">
        <v>253</v>
      </c>
      <c r="J316" s="14">
        <v>2</v>
      </c>
      <c r="K316" s="14" t="s">
        <v>254</v>
      </c>
      <c r="L316" s="14" t="s">
        <v>255</v>
      </c>
      <c r="M316" s="14" t="s">
        <v>94</v>
      </c>
      <c r="N316" s="14" t="s">
        <v>110</v>
      </c>
      <c r="O316" s="13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</row>
    <row r="317" spans="1:76" ht="16.5" customHeight="1" x14ac:dyDescent="0.3">
      <c r="A317" t="s">
        <v>724</v>
      </c>
      <c r="B317" t="s">
        <v>656</v>
      </c>
      <c r="C317" t="s">
        <v>761</v>
      </c>
      <c r="D317" t="s">
        <v>766</v>
      </c>
      <c r="E317" t="s">
        <v>766</v>
      </c>
      <c r="F317" t="s">
        <v>766</v>
      </c>
      <c r="G317" s="5">
        <v>1494234</v>
      </c>
      <c r="H317" s="38" t="s">
        <v>395</v>
      </c>
      <c r="I317" s="5" t="s">
        <v>253</v>
      </c>
      <c r="J317" s="5">
        <v>2</v>
      </c>
      <c r="K317" s="5" t="s">
        <v>254</v>
      </c>
      <c r="L317" s="5" t="s">
        <v>255</v>
      </c>
      <c r="M317" s="5" t="s">
        <v>94</v>
      </c>
      <c r="N317" s="5" t="s">
        <v>110</v>
      </c>
      <c r="O317" s="4"/>
      <c r="P317" s="24">
        <f t="shared" ref="P317:P322" si="72">SUM(Q317,R317)</f>
        <v>1</v>
      </c>
      <c r="Q317" s="8">
        <f t="shared" ref="Q317:Q322" si="73">S317</f>
        <v>0</v>
      </c>
      <c r="R317" s="8">
        <f t="shared" ref="R317:R322" si="74">SUM(T317:BX317)</f>
        <v>1</v>
      </c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>
        <v>1</v>
      </c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</row>
    <row r="318" spans="1:76" ht="16.5" customHeight="1" x14ac:dyDescent="0.3">
      <c r="A318" t="s">
        <v>724</v>
      </c>
      <c r="B318" t="s">
        <v>656</v>
      </c>
      <c r="C318" t="s">
        <v>761</v>
      </c>
      <c r="D318" t="s">
        <v>766</v>
      </c>
      <c r="E318" t="s">
        <v>767</v>
      </c>
      <c r="F318" t="s">
        <v>767</v>
      </c>
      <c r="G318" s="5">
        <v>1494515</v>
      </c>
      <c r="H318" s="7" t="s">
        <v>396</v>
      </c>
      <c r="I318" s="5" t="s">
        <v>253</v>
      </c>
      <c r="J318" s="5">
        <v>2</v>
      </c>
      <c r="K318" s="5" t="s">
        <v>102</v>
      </c>
      <c r="L318" s="5" t="s">
        <v>109</v>
      </c>
      <c r="M318" s="5" t="s">
        <v>94</v>
      </c>
      <c r="N318" s="5" t="s">
        <v>283</v>
      </c>
      <c r="O318" s="4"/>
      <c r="P318" s="24">
        <f t="shared" si="72"/>
        <v>44</v>
      </c>
      <c r="Q318" s="8">
        <f t="shared" si="73"/>
        <v>0</v>
      </c>
      <c r="R318" s="8">
        <f t="shared" si="74"/>
        <v>44</v>
      </c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>
        <v>1</v>
      </c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>
        <v>4</v>
      </c>
      <c r="AQ318" s="8"/>
      <c r="AR318" s="8"/>
      <c r="AS318" s="8"/>
      <c r="AT318" s="8"/>
      <c r="AU318" s="8"/>
      <c r="AV318" s="8"/>
      <c r="AW318" s="8">
        <v>1</v>
      </c>
      <c r="AX318" s="8"/>
      <c r="AY318" s="8">
        <v>7</v>
      </c>
      <c r="AZ318" s="8"/>
      <c r="BA318" s="8"/>
      <c r="BB318" s="8"/>
      <c r="BC318" s="8"/>
      <c r="BD318" s="8"/>
      <c r="BE318" s="8"/>
      <c r="BF318" s="8"/>
      <c r="BG318" s="8"/>
      <c r="BH318" s="8">
        <v>1</v>
      </c>
      <c r="BI318" s="8"/>
      <c r="BJ318" s="8">
        <v>10</v>
      </c>
      <c r="BK318" s="8"/>
      <c r="BL318" s="8">
        <v>4</v>
      </c>
      <c r="BM318" s="8"/>
      <c r="BN318" s="8"/>
      <c r="BO318" s="8"/>
      <c r="BP318" s="8"/>
      <c r="BQ318" s="8">
        <v>10</v>
      </c>
      <c r="BR318" s="8"/>
      <c r="BS318" s="8">
        <v>6</v>
      </c>
      <c r="BT318" s="8"/>
      <c r="BU318" s="8"/>
      <c r="BV318" s="8"/>
      <c r="BW318" s="8"/>
      <c r="BX318" s="8"/>
    </row>
    <row r="319" spans="1:76" ht="16.5" customHeight="1" x14ac:dyDescent="0.3">
      <c r="A319" t="s">
        <v>724</v>
      </c>
      <c r="B319" t="s">
        <v>656</v>
      </c>
      <c r="C319" t="s">
        <v>761</v>
      </c>
      <c r="D319" t="s">
        <v>766</v>
      </c>
      <c r="E319" t="s">
        <v>665</v>
      </c>
      <c r="F319" t="s">
        <v>727</v>
      </c>
      <c r="G319" s="5">
        <v>1494845</v>
      </c>
      <c r="H319" s="7" t="s">
        <v>284</v>
      </c>
      <c r="I319" s="5" t="s">
        <v>253</v>
      </c>
      <c r="J319" s="5">
        <v>2</v>
      </c>
      <c r="K319" s="5" t="s">
        <v>102</v>
      </c>
      <c r="L319" s="5" t="s">
        <v>109</v>
      </c>
      <c r="M319" s="5" t="s">
        <v>94</v>
      </c>
      <c r="N319" s="5" t="s">
        <v>285</v>
      </c>
      <c r="O319" s="4"/>
      <c r="P319" s="24">
        <f t="shared" si="72"/>
        <v>15</v>
      </c>
      <c r="Q319" s="8">
        <f t="shared" si="73"/>
        <v>0</v>
      </c>
      <c r="R319" s="8">
        <f t="shared" si="74"/>
        <v>15</v>
      </c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>
        <v>1</v>
      </c>
      <c r="AK319" s="8"/>
      <c r="AL319" s="8"/>
      <c r="AM319" s="8"/>
      <c r="AN319" s="8">
        <v>1</v>
      </c>
      <c r="AO319" s="8"/>
      <c r="AP319" s="8">
        <v>1</v>
      </c>
      <c r="AQ319" s="8"/>
      <c r="AR319" s="8"/>
      <c r="AS319" s="8"/>
      <c r="AT319" s="8"/>
      <c r="AU319" s="8"/>
      <c r="AV319" s="8"/>
      <c r="AW319" s="8">
        <v>1</v>
      </c>
      <c r="AX319" s="8"/>
      <c r="AY319" s="8">
        <v>1</v>
      </c>
      <c r="AZ319" s="8"/>
      <c r="BA319" s="8"/>
      <c r="BB319" s="8"/>
      <c r="BC319" s="8"/>
      <c r="BD319" s="8"/>
      <c r="BE319" s="8"/>
      <c r="BF319" s="8"/>
      <c r="BG319" s="8"/>
      <c r="BH319" s="8">
        <v>1</v>
      </c>
      <c r="BI319" s="8"/>
      <c r="BJ319" s="8">
        <v>2</v>
      </c>
      <c r="BK319" s="8"/>
      <c r="BL319" s="8">
        <v>1</v>
      </c>
      <c r="BM319" s="8"/>
      <c r="BN319" s="8"/>
      <c r="BO319" s="8"/>
      <c r="BP319" s="8"/>
      <c r="BQ319" s="8">
        <v>1</v>
      </c>
      <c r="BR319" s="8"/>
      <c r="BS319" s="8">
        <v>2</v>
      </c>
      <c r="BT319" s="8">
        <v>1</v>
      </c>
      <c r="BU319" s="8">
        <v>1</v>
      </c>
      <c r="BV319" s="8">
        <v>1</v>
      </c>
      <c r="BW319" s="8"/>
      <c r="BX319" s="8"/>
    </row>
    <row r="320" spans="1:76" ht="16.5" customHeight="1" x14ac:dyDescent="0.3">
      <c r="A320" t="s">
        <v>724</v>
      </c>
      <c r="B320" t="s">
        <v>656</v>
      </c>
      <c r="C320" t="s">
        <v>761</v>
      </c>
      <c r="D320" t="s">
        <v>766</v>
      </c>
      <c r="E320" t="s">
        <v>747</v>
      </c>
      <c r="F320" t="s">
        <v>747</v>
      </c>
      <c r="G320" s="5">
        <v>1495076</v>
      </c>
      <c r="H320" s="7" t="s">
        <v>367</v>
      </c>
      <c r="I320" s="5" t="s">
        <v>253</v>
      </c>
      <c r="J320" s="5">
        <v>2</v>
      </c>
      <c r="K320" s="5" t="s">
        <v>102</v>
      </c>
      <c r="L320" s="5" t="s">
        <v>109</v>
      </c>
      <c r="M320" s="5" t="s">
        <v>94</v>
      </c>
      <c r="N320" s="5" t="s">
        <v>285</v>
      </c>
      <c r="O320" s="4"/>
      <c r="P320" s="24">
        <f t="shared" si="72"/>
        <v>31</v>
      </c>
      <c r="Q320" s="8">
        <f t="shared" si="73"/>
        <v>0</v>
      </c>
      <c r="R320" s="8">
        <f t="shared" si="74"/>
        <v>31</v>
      </c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>
        <v>1</v>
      </c>
      <c r="AJ320" s="8"/>
      <c r="AK320" s="8"/>
      <c r="AL320" s="8"/>
      <c r="AM320" s="8"/>
      <c r="AN320" s="8">
        <v>12</v>
      </c>
      <c r="AO320" s="8"/>
      <c r="AP320" s="8"/>
      <c r="AQ320" s="8"/>
      <c r="AR320" s="8"/>
      <c r="AS320" s="8"/>
      <c r="AT320" s="8"/>
      <c r="AU320" s="8"/>
      <c r="AV320" s="8"/>
      <c r="AW320" s="8">
        <v>13</v>
      </c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>
        <v>4</v>
      </c>
      <c r="BI320" s="8"/>
      <c r="BJ320" s="8"/>
      <c r="BK320" s="8"/>
      <c r="BL320" s="8"/>
      <c r="BM320" s="8"/>
      <c r="BN320" s="8"/>
      <c r="BO320" s="8">
        <v>1</v>
      </c>
      <c r="BP320" s="8"/>
      <c r="BQ320" s="8"/>
      <c r="BR320" s="8"/>
      <c r="BS320" s="8"/>
      <c r="BT320" s="8"/>
      <c r="BU320" s="8"/>
      <c r="BV320" s="8"/>
      <c r="BW320" s="8"/>
      <c r="BX320" s="8"/>
    </row>
    <row r="321" spans="1:76" ht="16.5" customHeight="1" x14ac:dyDescent="0.3">
      <c r="A321" t="s">
        <v>724</v>
      </c>
      <c r="B321" t="s">
        <v>656</v>
      </c>
      <c r="C321" t="s">
        <v>761</v>
      </c>
      <c r="D321" t="s">
        <v>766</v>
      </c>
      <c r="E321" t="s">
        <v>741</v>
      </c>
      <c r="F321" t="s">
        <v>741</v>
      </c>
      <c r="G321" s="5">
        <v>1495096</v>
      </c>
      <c r="H321" s="7" t="s">
        <v>291</v>
      </c>
      <c r="I321" s="5" t="s">
        <v>253</v>
      </c>
      <c r="J321" s="5">
        <v>2</v>
      </c>
      <c r="K321" s="5" t="s">
        <v>102</v>
      </c>
      <c r="L321" s="5" t="s">
        <v>109</v>
      </c>
      <c r="M321" s="5" t="s">
        <v>94</v>
      </c>
      <c r="N321" s="5" t="s">
        <v>285</v>
      </c>
      <c r="O321" s="4"/>
      <c r="P321" s="24">
        <f t="shared" si="72"/>
        <v>10</v>
      </c>
      <c r="Q321" s="8">
        <f t="shared" si="73"/>
        <v>0</v>
      </c>
      <c r="R321" s="8">
        <f t="shared" si="74"/>
        <v>10</v>
      </c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>
        <v>1</v>
      </c>
      <c r="AJ321" s="8"/>
      <c r="AK321" s="8"/>
      <c r="AL321" s="8"/>
      <c r="AM321" s="8"/>
      <c r="AN321" s="8">
        <v>3</v>
      </c>
      <c r="AO321" s="8"/>
      <c r="AP321" s="8"/>
      <c r="AQ321" s="8"/>
      <c r="AR321" s="8"/>
      <c r="AS321" s="8"/>
      <c r="AT321" s="8"/>
      <c r="AU321" s="8"/>
      <c r="AV321" s="8"/>
      <c r="AW321" s="8">
        <v>4</v>
      </c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>
        <v>2</v>
      </c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</row>
    <row r="322" spans="1:76" ht="16.5" customHeight="1" x14ac:dyDescent="0.3">
      <c r="A322" t="s">
        <v>724</v>
      </c>
      <c r="B322" t="s">
        <v>656</v>
      </c>
      <c r="C322" t="s">
        <v>761</v>
      </c>
      <c r="D322" t="s">
        <v>766</v>
      </c>
      <c r="E322" t="s">
        <v>735</v>
      </c>
      <c r="F322" t="s">
        <v>735</v>
      </c>
      <c r="G322" s="5">
        <v>1495127</v>
      </c>
      <c r="H322" s="7" t="s">
        <v>292</v>
      </c>
      <c r="I322" s="5" t="s">
        <v>253</v>
      </c>
      <c r="J322" s="5">
        <v>2</v>
      </c>
      <c r="K322" s="5" t="s">
        <v>102</v>
      </c>
      <c r="L322" s="5" t="s">
        <v>109</v>
      </c>
      <c r="M322" s="5" t="s">
        <v>94</v>
      </c>
      <c r="N322" s="5" t="s">
        <v>285</v>
      </c>
      <c r="O322" s="4"/>
      <c r="P322" s="24">
        <f t="shared" si="72"/>
        <v>17</v>
      </c>
      <c r="Q322" s="8">
        <f t="shared" si="73"/>
        <v>0</v>
      </c>
      <c r="R322" s="8">
        <f t="shared" si="74"/>
        <v>17</v>
      </c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>
        <v>1</v>
      </c>
      <c r="AK322" s="8"/>
      <c r="AL322" s="8"/>
      <c r="AM322" s="8"/>
      <c r="AN322" s="8">
        <v>1</v>
      </c>
      <c r="AO322" s="8"/>
      <c r="AP322" s="8"/>
      <c r="AQ322" s="8">
        <v>5</v>
      </c>
      <c r="AR322" s="8"/>
      <c r="AS322" s="8"/>
      <c r="AT322" s="8"/>
      <c r="AU322" s="8">
        <v>2</v>
      </c>
      <c r="AV322" s="8">
        <v>1</v>
      </c>
      <c r="AW322" s="8"/>
      <c r="AX322" s="8"/>
      <c r="AY322" s="8"/>
      <c r="AZ322" s="8">
        <v>4</v>
      </c>
      <c r="BA322" s="8"/>
      <c r="BB322" s="8"/>
      <c r="BC322" s="8"/>
      <c r="BD322" s="8">
        <v>2</v>
      </c>
      <c r="BE322" s="8"/>
      <c r="BF322" s="8"/>
      <c r="BG322" s="8"/>
      <c r="BH322" s="8">
        <v>1</v>
      </c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</row>
    <row r="323" spans="1:76" ht="16.5" customHeight="1" x14ac:dyDescent="0.3">
      <c r="G323" s="14">
        <v>1494244</v>
      </c>
      <c r="H323" s="15" t="s">
        <v>397</v>
      </c>
      <c r="I323" s="14" t="s">
        <v>253</v>
      </c>
      <c r="J323" s="14">
        <v>2</v>
      </c>
      <c r="K323" s="14" t="s">
        <v>254</v>
      </c>
      <c r="L323" s="14" t="s">
        <v>255</v>
      </c>
      <c r="M323" s="14" t="s">
        <v>94</v>
      </c>
      <c r="N323" s="14" t="s">
        <v>110</v>
      </c>
      <c r="O323" s="13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</row>
    <row r="324" spans="1:76" ht="16.5" customHeight="1" x14ac:dyDescent="0.3">
      <c r="A324" t="s">
        <v>724</v>
      </c>
      <c r="B324" t="s">
        <v>656</v>
      </c>
      <c r="C324" t="s">
        <v>761</v>
      </c>
      <c r="D324" t="s">
        <v>768</v>
      </c>
      <c r="E324" t="s">
        <v>768</v>
      </c>
      <c r="F324" t="s">
        <v>768</v>
      </c>
      <c r="G324" s="5">
        <v>1494244</v>
      </c>
      <c r="H324" s="38" t="s">
        <v>398</v>
      </c>
      <c r="I324" s="5" t="s">
        <v>253</v>
      </c>
      <c r="J324" s="5">
        <v>2</v>
      </c>
      <c r="K324" s="5" t="s">
        <v>254</v>
      </c>
      <c r="L324" s="5" t="s">
        <v>255</v>
      </c>
      <c r="M324" s="5" t="s">
        <v>94</v>
      </c>
      <c r="N324" s="5" t="s">
        <v>110</v>
      </c>
      <c r="O324" s="4"/>
      <c r="P324" s="24">
        <f t="shared" ref="P324:P334" si="75">SUM(Q324,R324)</f>
        <v>1</v>
      </c>
      <c r="Q324" s="8">
        <f t="shared" ref="Q324:Q334" si="76">S324</f>
        <v>0</v>
      </c>
      <c r="R324" s="8">
        <f t="shared" ref="R324:R334" si="77">SUM(T324:BX324)</f>
        <v>1</v>
      </c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>
        <v>1</v>
      </c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</row>
    <row r="325" spans="1:76" ht="16.5" customHeight="1" x14ac:dyDescent="0.3">
      <c r="A325" t="s">
        <v>724</v>
      </c>
      <c r="B325" t="s">
        <v>656</v>
      </c>
      <c r="C325" t="s">
        <v>761</v>
      </c>
      <c r="D325" t="s">
        <v>768</v>
      </c>
      <c r="E325" t="s">
        <v>769</v>
      </c>
      <c r="F325" t="s">
        <v>769</v>
      </c>
      <c r="G325" s="5">
        <v>1494245</v>
      </c>
      <c r="H325" s="7" t="s">
        <v>399</v>
      </c>
      <c r="I325" s="5" t="s">
        <v>253</v>
      </c>
      <c r="J325" s="5">
        <v>2</v>
      </c>
      <c r="K325" s="5" t="s">
        <v>102</v>
      </c>
      <c r="L325" s="5" t="s">
        <v>109</v>
      </c>
      <c r="M325" s="5" t="s">
        <v>94</v>
      </c>
      <c r="N325" s="5" t="s">
        <v>283</v>
      </c>
      <c r="O325" s="4"/>
      <c r="P325" s="24">
        <f t="shared" si="75"/>
        <v>46</v>
      </c>
      <c r="Q325" s="8">
        <f t="shared" si="76"/>
        <v>0</v>
      </c>
      <c r="R325" s="8">
        <f t="shared" si="77"/>
        <v>46</v>
      </c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>
        <v>1</v>
      </c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>
        <v>4</v>
      </c>
      <c r="AQ325" s="8"/>
      <c r="AR325" s="8"/>
      <c r="AS325" s="8"/>
      <c r="AT325" s="8"/>
      <c r="AU325" s="8"/>
      <c r="AV325" s="8"/>
      <c r="AW325" s="8">
        <v>1</v>
      </c>
      <c r="AX325" s="8"/>
      <c r="AY325" s="8">
        <v>10</v>
      </c>
      <c r="AZ325" s="8"/>
      <c r="BA325" s="8"/>
      <c r="BB325" s="8"/>
      <c r="BC325" s="8"/>
      <c r="BD325" s="8"/>
      <c r="BE325" s="8"/>
      <c r="BF325" s="8"/>
      <c r="BG325" s="8"/>
      <c r="BH325" s="8">
        <v>1</v>
      </c>
      <c r="BI325" s="8"/>
      <c r="BJ325" s="8">
        <v>13</v>
      </c>
      <c r="BK325" s="8"/>
      <c r="BL325" s="8">
        <v>1</v>
      </c>
      <c r="BM325" s="8"/>
      <c r="BN325" s="8"/>
      <c r="BO325" s="8"/>
      <c r="BP325" s="8"/>
      <c r="BQ325" s="8">
        <v>7</v>
      </c>
      <c r="BR325" s="8"/>
      <c r="BS325" s="8">
        <v>8</v>
      </c>
      <c r="BT325" s="8"/>
      <c r="BU325" s="8"/>
      <c r="BV325" s="8"/>
      <c r="BW325" s="8"/>
      <c r="BX325" s="8"/>
    </row>
    <row r="326" spans="1:76" ht="16.5" customHeight="1" x14ac:dyDescent="0.3">
      <c r="A326" t="s">
        <v>724</v>
      </c>
      <c r="B326" t="s">
        <v>656</v>
      </c>
      <c r="C326" t="s">
        <v>761</v>
      </c>
      <c r="D326" t="s">
        <v>768</v>
      </c>
      <c r="E326" t="s">
        <v>770</v>
      </c>
      <c r="F326" t="s">
        <v>770</v>
      </c>
      <c r="G326" s="5">
        <v>1494246</v>
      </c>
      <c r="H326" s="7" t="s">
        <v>400</v>
      </c>
      <c r="I326" s="5" t="s">
        <v>253</v>
      </c>
      <c r="J326" s="5">
        <v>2</v>
      </c>
      <c r="K326" s="5" t="s">
        <v>102</v>
      </c>
      <c r="L326" s="5" t="s">
        <v>109</v>
      </c>
      <c r="M326" s="5" t="s">
        <v>94</v>
      </c>
      <c r="N326" s="5" t="s">
        <v>283</v>
      </c>
      <c r="O326" s="4"/>
      <c r="P326" s="24">
        <f t="shared" si="75"/>
        <v>20</v>
      </c>
      <c r="Q326" s="8">
        <f t="shared" si="76"/>
        <v>0</v>
      </c>
      <c r="R326" s="8">
        <f t="shared" si="77"/>
        <v>20</v>
      </c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>
        <v>1</v>
      </c>
      <c r="AK326" s="8"/>
      <c r="AL326" s="8"/>
      <c r="AM326" s="8"/>
      <c r="AN326" s="8"/>
      <c r="AO326" s="8"/>
      <c r="AP326" s="8">
        <v>2</v>
      </c>
      <c r="AQ326" s="8"/>
      <c r="AR326" s="8"/>
      <c r="AS326" s="8"/>
      <c r="AT326" s="8"/>
      <c r="AU326" s="8"/>
      <c r="AV326" s="8"/>
      <c r="AW326" s="8">
        <v>1</v>
      </c>
      <c r="AX326" s="8"/>
      <c r="AY326" s="8">
        <v>3</v>
      </c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>
        <v>4</v>
      </c>
      <c r="BK326" s="8"/>
      <c r="BL326" s="8">
        <v>2</v>
      </c>
      <c r="BM326" s="8"/>
      <c r="BN326" s="8"/>
      <c r="BO326" s="8"/>
      <c r="BP326" s="8"/>
      <c r="BQ326" s="8">
        <v>5</v>
      </c>
      <c r="BR326" s="8"/>
      <c r="BS326" s="8">
        <v>2</v>
      </c>
      <c r="BT326" s="8"/>
      <c r="BU326" s="8"/>
      <c r="BV326" s="8"/>
      <c r="BW326" s="8"/>
      <c r="BX326" s="8"/>
    </row>
    <row r="327" spans="1:76" ht="16.5" customHeight="1" x14ac:dyDescent="0.3">
      <c r="A327" t="s">
        <v>724</v>
      </c>
      <c r="B327" t="s">
        <v>656</v>
      </c>
      <c r="C327" t="s">
        <v>761</v>
      </c>
      <c r="D327" t="s">
        <v>768</v>
      </c>
      <c r="E327" t="s">
        <v>665</v>
      </c>
      <c r="F327" t="s">
        <v>727</v>
      </c>
      <c r="G327" s="5">
        <v>1494846</v>
      </c>
      <c r="H327" s="7" t="s">
        <v>284</v>
      </c>
      <c r="I327" s="5" t="s">
        <v>253</v>
      </c>
      <c r="J327" s="5">
        <v>2</v>
      </c>
      <c r="K327" s="5" t="s">
        <v>102</v>
      </c>
      <c r="L327" s="5" t="s">
        <v>109</v>
      </c>
      <c r="M327" s="5" t="s">
        <v>94</v>
      </c>
      <c r="N327" s="5" t="s">
        <v>285</v>
      </c>
      <c r="O327" s="4"/>
      <c r="P327" s="24">
        <f t="shared" si="75"/>
        <v>13.5</v>
      </c>
      <c r="Q327" s="8">
        <f t="shared" si="76"/>
        <v>0</v>
      </c>
      <c r="R327" s="8">
        <f t="shared" si="77"/>
        <v>13.5</v>
      </c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>
        <v>1</v>
      </c>
      <c r="AK327" s="8"/>
      <c r="AL327" s="8"/>
      <c r="AM327" s="8"/>
      <c r="AN327" s="8"/>
      <c r="AO327" s="8">
        <v>1</v>
      </c>
      <c r="AP327" s="8"/>
      <c r="AQ327" s="8"/>
      <c r="AR327" s="8"/>
      <c r="AS327" s="8"/>
      <c r="AT327" s="8"/>
      <c r="AU327" s="8"/>
      <c r="AV327" s="8"/>
      <c r="AW327" s="8">
        <v>1</v>
      </c>
      <c r="AX327" s="8"/>
      <c r="AY327" s="8">
        <v>3</v>
      </c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>
        <v>1.5</v>
      </c>
      <c r="BK327" s="8"/>
      <c r="BL327" s="8">
        <v>1</v>
      </c>
      <c r="BM327" s="8"/>
      <c r="BN327" s="8"/>
      <c r="BO327" s="8"/>
      <c r="BP327" s="8">
        <v>3</v>
      </c>
      <c r="BQ327" s="8">
        <v>1</v>
      </c>
      <c r="BR327" s="8"/>
      <c r="BS327" s="8">
        <v>1</v>
      </c>
      <c r="BT327" s="8"/>
      <c r="BU327" s="8"/>
      <c r="BV327" s="8"/>
      <c r="BW327" s="8"/>
      <c r="BX327" s="8"/>
    </row>
    <row r="328" spans="1:76" ht="16.5" customHeight="1" x14ac:dyDescent="0.3">
      <c r="A328" t="s">
        <v>724</v>
      </c>
      <c r="B328" t="s">
        <v>656</v>
      </c>
      <c r="C328" t="s">
        <v>761</v>
      </c>
      <c r="D328" t="s">
        <v>768</v>
      </c>
      <c r="E328" t="s">
        <v>728</v>
      </c>
      <c r="F328" t="s">
        <v>728</v>
      </c>
      <c r="G328" s="5">
        <v>1494847</v>
      </c>
      <c r="H328" s="7" t="s">
        <v>286</v>
      </c>
      <c r="I328" s="5" t="s">
        <v>253</v>
      </c>
      <c r="J328" s="5">
        <v>2</v>
      </c>
      <c r="K328" s="5" t="s">
        <v>102</v>
      </c>
      <c r="L328" s="5" t="s">
        <v>109</v>
      </c>
      <c r="M328" s="5" t="s">
        <v>94</v>
      </c>
      <c r="N328" s="5" t="s">
        <v>285</v>
      </c>
      <c r="O328" s="4"/>
      <c r="P328" s="24">
        <f t="shared" si="75"/>
        <v>15</v>
      </c>
      <c r="Q328" s="8">
        <f t="shared" si="76"/>
        <v>0</v>
      </c>
      <c r="R328" s="8">
        <f t="shared" si="77"/>
        <v>15</v>
      </c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>
        <v>1</v>
      </c>
      <c r="AK328" s="8"/>
      <c r="AL328" s="8"/>
      <c r="AM328" s="8"/>
      <c r="AN328" s="8">
        <v>1</v>
      </c>
      <c r="AO328" s="8"/>
      <c r="AP328" s="8"/>
      <c r="AQ328" s="8"/>
      <c r="AR328" s="8"/>
      <c r="AS328" s="8"/>
      <c r="AT328" s="8"/>
      <c r="AU328" s="8"/>
      <c r="AV328" s="8"/>
      <c r="AW328" s="8">
        <v>1</v>
      </c>
      <c r="AX328" s="8"/>
      <c r="AY328" s="8">
        <v>1</v>
      </c>
      <c r="AZ328" s="8"/>
      <c r="BA328" s="8"/>
      <c r="BB328" s="8"/>
      <c r="BC328" s="8">
        <v>1</v>
      </c>
      <c r="BD328" s="8"/>
      <c r="BE328" s="8"/>
      <c r="BF328" s="8"/>
      <c r="BG328" s="8"/>
      <c r="BH328" s="8">
        <v>1</v>
      </c>
      <c r="BI328" s="8"/>
      <c r="BJ328" s="8">
        <v>2</v>
      </c>
      <c r="BK328" s="8"/>
      <c r="BL328" s="8">
        <v>1</v>
      </c>
      <c r="BM328" s="8"/>
      <c r="BN328" s="8"/>
      <c r="BO328" s="8">
        <v>1</v>
      </c>
      <c r="BP328" s="8"/>
      <c r="BQ328" s="8">
        <v>1</v>
      </c>
      <c r="BR328" s="8"/>
      <c r="BS328" s="8">
        <v>1</v>
      </c>
      <c r="BT328" s="8">
        <v>1</v>
      </c>
      <c r="BU328" s="8">
        <v>1</v>
      </c>
      <c r="BV328" s="8">
        <v>1</v>
      </c>
      <c r="BW328" s="8"/>
      <c r="BX328" s="8"/>
    </row>
    <row r="329" spans="1:76" ht="16.5" customHeight="1" x14ac:dyDescent="0.3">
      <c r="A329" t="s">
        <v>724</v>
      </c>
      <c r="B329" t="s">
        <v>656</v>
      </c>
      <c r="C329" t="s">
        <v>761</v>
      </c>
      <c r="D329" t="s">
        <v>768</v>
      </c>
      <c r="E329" t="s">
        <v>771</v>
      </c>
      <c r="F329" t="s">
        <v>771</v>
      </c>
      <c r="G329" s="5">
        <v>1492900</v>
      </c>
      <c r="H329" s="7" t="s">
        <v>287</v>
      </c>
      <c r="I329" s="5" t="s">
        <v>253</v>
      </c>
      <c r="J329" s="5">
        <v>2</v>
      </c>
      <c r="K329" s="5" t="s">
        <v>102</v>
      </c>
      <c r="L329" s="5" t="s">
        <v>109</v>
      </c>
      <c r="M329" s="5" t="s">
        <v>94</v>
      </c>
      <c r="N329" s="5" t="s">
        <v>285</v>
      </c>
      <c r="O329" s="4"/>
      <c r="P329" s="24">
        <f t="shared" si="75"/>
        <v>9</v>
      </c>
      <c r="Q329" s="8">
        <f t="shared" si="76"/>
        <v>0</v>
      </c>
      <c r="R329" s="8">
        <f t="shared" si="77"/>
        <v>9</v>
      </c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>
        <v>1</v>
      </c>
      <c r="AJ329" s="8"/>
      <c r="AK329" s="8"/>
      <c r="AL329" s="8"/>
      <c r="AM329" s="8"/>
      <c r="AN329" s="8">
        <v>2</v>
      </c>
      <c r="AO329" s="8"/>
      <c r="AP329" s="8"/>
      <c r="AQ329" s="8"/>
      <c r="AR329" s="8"/>
      <c r="AS329" s="8"/>
      <c r="AT329" s="8"/>
      <c r="AU329" s="8"/>
      <c r="AV329" s="8"/>
      <c r="AW329" s="8">
        <v>5</v>
      </c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>
        <v>1</v>
      </c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</row>
    <row r="330" spans="1:76" ht="16.5" customHeight="1" x14ac:dyDescent="0.3">
      <c r="A330" t="s">
        <v>724</v>
      </c>
      <c r="B330" t="s">
        <v>656</v>
      </c>
      <c r="C330" t="s">
        <v>761</v>
      </c>
      <c r="D330" t="s">
        <v>768</v>
      </c>
      <c r="E330" t="s">
        <v>670</v>
      </c>
      <c r="F330" t="s">
        <v>670</v>
      </c>
      <c r="G330" s="5">
        <v>1495165</v>
      </c>
      <c r="H330" s="7" t="s">
        <v>288</v>
      </c>
      <c r="I330" s="5" t="s">
        <v>253</v>
      </c>
      <c r="J330" s="5">
        <v>2</v>
      </c>
      <c r="K330" s="5" t="s">
        <v>102</v>
      </c>
      <c r="L330" s="5" t="s">
        <v>109</v>
      </c>
      <c r="M330" s="5" t="s">
        <v>94</v>
      </c>
      <c r="N330" s="5" t="s">
        <v>285</v>
      </c>
      <c r="O330" s="4"/>
      <c r="P330" s="24">
        <f t="shared" si="75"/>
        <v>27</v>
      </c>
      <c r="Q330" s="8">
        <f t="shared" si="76"/>
        <v>0</v>
      </c>
      <c r="R330" s="8">
        <f t="shared" si="77"/>
        <v>27</v>
      </c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>
        <v>1</v>
      </c>
      <c r="AJ330" s="8"/>
      <c r="AK330" s="8"/>
      <c r="AL330" s="8"/>
      <c r="AM330" s="8"/>
      <c r="AN330" s="8">
        <v>10</v>
      </c>
      <c r="AO330" s="8"/>
      <c r="AP330" s="8"/>
      <c r="AQ330" s="8"/>
      <c r="AR330" s="8"/>
      <c r="AS330" s="8"/>
      <c r="AT330" s="8"/>
      <c r="AU330" s="8"/>
      <c r="AV330" s="8"/>
      <c r="AW330" s="8">
        <v>12</v>
      </c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>
        <v>4</v>
      </c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</row>
    <row r="331" spans="1:76" ht="16.5" customHeight="1" x14ac:dyDescent="0.3">
      <c r="A331" t="s">
        <v>724</v>
      </c>
      <c r="B331" t="s">
        <v>656</v>
      </c>
      <c r="C331" t="s">
        <v>761</v>
      </c>
      <c r="D331" t="s">
        <v>768</v>
      </c>
      <c r="E331" t="s">
        <v>731</v>
      </c>
      <c r="F331" t="s">
        <v>731</v>
      </c>
      <c r="G331" s="5">
        <v>1495197</v>
      </c>
      <c r="H331" s="7" t="s">
        <v>289</v>
      </c>
      <c r="I331" s="5" t="s">
        <v>253</v>
      </c>
      <c r="J331" s="5">
        <v>2</v>
      </c>
      <c r="K331" s="5" t="s">
        <v>102</v>
      </c>
      <c r="L331" s="5" t="s">
        <v>109</v>
      </c>
      <c r="M331" s="5" t="s">
        <v>94</v>
      </c>
      <c r="N331" s="5" t="s">
        <v>285</v>
      </c>
      <c r="O331" s="4"/>
      <c r="P331" s="24">
        <f t="shared" si="75"/>
        <v>17</v>
      </c>
      <c r="Q331" s="8">
        <f t="shared" si="76"/>
        <v>0</v>
      </c>
      <c r="R331" s="8">
        <f t="shared" si="77"/>
        <v>17</v>
      </c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>
        <v>1</v>
      </c>
      <c r="AJ331" s="8"/>
      <c r="AK331" s="8"/>
      <c r="AL331" s="8"/>
      <c r="AM331" s="8"/>
      <c r="AN331" s="8">
        <v>7</v>
      </c>
      <c r="AO331" s="8"/>
      <c r="AP331" s="8"/>
      <c r="AQ331" s="8"/>
      <c r="AR331" s="8"/>
      <c r="AS331" s="8"/>
      <c r="AT331" s="8"/>
      <c r="AU331" s="8"/>
      <c r="AV331" s="8"/>
      <c r="AW331" s="8">
        <v>6</v>
      </c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>
        <v>2</v>
      </c>
      <c r="BI331" s="8"/>
      <c r="BJ331" s="8"/>
      <c r="BK331" s="8"/>
      <c r="BL331" s="8"/>
      <c r="BM331" s="8"/>
      <c r="BN331" s="8"/>
      <c r="BO331" s="8">
        <v>1</v>
      </c>
      <c r="BP331" s="8"/>
      <c r="BQ331" s="8"/>
      <c r="BR331" s="8"/>
      <c r="BS331" s="8"/>
      <c r="BT331" s="8"/>
      <c r="BU331" s="8"/>
      <c r="BV331" s="8"/>
      <c r="BW331" s="8"/>
      <c r="BX331" s="8"/>
    </row>
    <row r="332" spans="1:76" ht="16.5" customHeight="1" x14ac:dyDescent="0.3">
      <c r="A332" t="s">
        <v>724</v>
      </c>
      <c r="B332" t="s">
        <v>656</v>
      </c>
      <c r="C332" t="s">
        <v>761</v>
      </c>
      <c r="D332" t="s">
        <v>768</v>
      </c>
      <c r="E332" t="s">
        <v>741</v>
      </c>
      <c r="F332" t="s">
        <v>741</v>
      </c>
      <c r="G332" s="5">
        <v>1495224</v>
      </c>
      <c r="H332" s="7" t="s">
        <v>291</v>
      </c>
      <c r="I332" s="5" t="s">
        <v>253</v>
      </c>
      <c r="J332" s="5">
        <v>2</v>
      </c>
      <c r="K332" s="5" t="s">
        <v>102</v>
      </c>
      <c r="L332" s="5" t="s">
        <v>109</v>
      </c>
      <c r="M332" s="5" t="s">
        <v>94</v>
      </c>
      <c r="N332" s="5" t="s">
        <v>285</v>
      </c>
      <c r="O332" s="4"/>
      <c r="P332" s="24">
        <f t="shared" si="75"/>
        <v>10</v>
      </c>
      <c r="Q332" s="8">
        <f t="shared" si="76"/>
        <v>0</v>
      </c>
      <c r="R332" s="8">
        <f t="shared" si="77"/>
        <v>10</v>
      </c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>
        <v>1</v>
      </c>
      <c r="AJ332" s="8"/>
      <c r="AK332" s="8"/>
      <c r="AL332" s="8"/>
      <c r="AM332" s="8"/>
      <c r="AN332" s="8">
        <v>4</v>
      </c>
      <c r="AO332" s="8"/>
      <c r="AP332" s="8"/>
      <c r="AQ332" s="8"/>
      <c r="AR332" s="8"/>
      <c r="AS332" s="8"/>
      <c r="AT332" s="8"/>
      <c r="AU332" s="8"/>
      <c r="AV332" s="8"/>
      <c r="AW332" s="8">
        <v>4</v>
      </c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>
        <v>1</v>
      </c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</row>
    <row r="333" spans="1:76" ht="16.5" customHeight="1" x14ac:dyDescent="0.3">
      <c r="A333" t="s">
        <v>724</v>
      </c>
      <c r="B333" t="s">
        <v>656</v>
      </c>
      <c r="C333" t="s">
        <v>761</v>
      </c>
      <c r="D333" t="s">
        <v>768</v>
      </c>
      <c r="E333" t="s">
        <v>734</v>
      </c>
      <c r="F333" t="s">
        <v>734</v>
      </c>
      <c r="G333" s="5">
        <v>1495246</v>
      </c>
      <c r="H333" s="7" t="s">
        <v>297</v>
      </c>
      <c r="I333" s="5" t="s">
        <v>253</v>
      </c>
      <c r="J333" s="5">
        <v>2</v>
      </c>
      <c r="K333" s="5" t="s">
        <v>102</v>
      </c>
      <c r="L333" s="5" t="s">
        <v>109</v>
      </c>
      <c r="M333" s="5" t="s">
        <v>94</v>
      </c>
      <c r="N333" s="5" t="s">
        <v>285</v>
      </c>
      <c r="O333" s="4"/>
      <c r="P333" s="24">
        <f t="shared" si="75"/>
        <v>11</v>
      </c>
      <c r="Q333" s="8">
        <f t="shared" si="76"/>
        <v>0</v>
      </c>
      <c r="R333" s="8">
        <f t="shared" si="77"/>
        <v>11</v>
      </c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>
        <v>1</v>
      </c>
      <c r="AK333" s="8"/>
      <c r="AL333" s="8"/>
      <c r="AM333" s="8"/>
      <c r="AN333" s="8"/>
      <c r="AO333" s="8"/>
      <c r="AP333" s="8"/>
      <c r="AQ333" s="8">
        <v>3</v>
      </c>
      <c r="AR333" s="8"/>
      <c r="AS333" s="8"/>
      <c r="AT333" s="8"/>
      <c r="AU333" s="8">
        <v>1</v>
      </c>
      <c r="AV333" s="8"/>
      <c r="AW333" s="8"/>
      <c r="AX333" s="8"/>
      <c r="AY333" s="8"/>
      <c r="AZ333" s="8">
        <v>4</v>
      </c>
      <c r="BA333" s="8"/>
      <c r="BB333" s="8"/>
      <c r="BC333" s="8"/>
      <c r="BD333" s="8">
        <v>2</v>
      </c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</row>
    <row r="334" spans="1:76" ht="16.5" customHeight="1" x14ac:dyDescent="0.3">
      <c r="A334" t="s">
        <v>724</v>
      </c>
      <c r="B334" t="s">
        <v>656</v>
      </c>
      <c r="C334" t="s">
        <v>761</v>
      </c>
      <c r="D334" t="s">
        <v>768</v>
      </c>
      <c r="E334" t="s">
        <v>735</v>
      </c>
      <c r="F334" t="s">
        <v>735</v>
      </c>
      <c r="G334" s="5">
        <v>1495264</v>
      </c>
      <c r="H334" s="7" t="s">
        <v>292</v>
      </c>
      <c r="I334" s="5" t="s">
        <v>253</v>
      </c>
      <c r="J334" s="5">
        <v>2</v>
      </c>
      <c r="K334" s="5" t="s">
        <v>102</v>
      </c>
      <c r="L334" s="5" t="s">
        <v>109</v>
      </c>
      <c r="M334" s="5" t="s">
        <v>94</v>
      </c>
      <c r="N334" s="5" t="s">
        <v>285</v>
      </c>
      <c r="O334" s="4"/>
      <c r="P334" s="24">
        <f t="shared" si="75"/>
        <v>24</v>
      </c>
      <c r="Q334" s="8">
        <f t="shared" si="76"/>
        <v>0</v>
      </c>
      <c r="R334" s="8">
        <f t="shared" si="77"/>
        <v>24</v>
      </c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>
        <v>1</v>
      </c>
      <c r="AK334" s="8"/>
      <c r="AL334" s="8"/>
      <c r="AM334" s="8"/>
      <c r="AN334" s="8">
        <v>1</v>
      </c>
      <c r="AO334" s="8"/>
      <c r="AP334" s="8"/>
      <c r="AQ334" s="8">
        <v>6</v>
      </c>
      <c r="AR334" s="8"/>
      <c r="AS334" s="8"/>
      <c r="AT334" s="8"/>
      <c r="AU334" s="8">
        <v>1</v>
      </c>
      <c r="AV334" s="8">
        <v>1</v>
      </c>
      <c r="AW334" s="8"/>
      <c r="AX334" s="8"/>
      <c r="AY334" s="8"/>
      <c r="AZ334" s="8">
        <v>7</v>
      </c>
      <c r="BA334" s="8"/>
      <c r="BB334" s="8"/>
      <c r="BC334" s="8"/>
      <c r="BD334" s="8">
        <v>4</v>
      </c>
      <c r="BE334" s="8">
        <v>1</v>
      </c>
      <c r="BF334" s="8"/>
      <c r="BG334" s="8"/>
      <c r="BH334" s="8">
        <v>2</v>
      </c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</row>
    <row r="335" spans="1:76" ht="16.5" customHeight="1" x14ac:dyDescent="0.3">
      <c r="G335" s="14">
        <v>1494254</v>
      </c>
      <c r="H335" s="15" t="s">
        <v>401</v>
      </c>
      <c r="I335" s="14" t="s">
        <v>253</v>
      </c>
      <c r="J335" s="14">
        <v>2</v>
      </c>
      <c r="K335" s="14" t="s">
        <v>254</v>
      </c>
      <c r="L335" s="14" t="s">
        <v>255</v>
      </c>
      <c r="M335" s="14" t="s">
        <v>94</v>
      </c>
      <c r="N335" s="14" t="s">
        <v>110</v>
      </c>
      <c r="O335" s="14" t="s">
        <v>119</v>
      </c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</row>
    <row r="336" spans="1:76" ht="16.5" customHeight="1" x14ac:dyDescent="0.3">
      <c r="A336" t="s">
        <v>724</v>
      </c>
      <c r="B336" t="s">
        <v>656</v>
      </c>
      <c r="C336" t="s">
        <v>761</v>
      </c>
      <c r="D336" t="s">
        <v>772</v>
      </c>
      <c r="E336" t="s">
        <v>772</v>
      </c>
      <c r="F336" t="s">
        <v>772</v>
      </c>
      <c r="G336" s="5">
        <v>1494254</v>
      </c>
      <c r="H336" s="38" t="s">
        <v>402</v>
      </c>
      <c r="I336" s="5" t="s">
        <v>253</v>
      </c>
      <c r="J336" s="5">
        <v>2</v>
      </c>
      <c r="K336" s="5" t="s">
        <v>254</v>
      </c>
      <c r="L336" s="5" t="s">
        <v>255</v>
      </c>
      <c r="M336" s="5" t="s">
        <v>94</v>
      </c>
      <c r="N336" s="5" t="s">
        <v>110</v>
      </c>
      <c r="O336" s="5" t="s">
        <v>119</v>
      </c>
      <c r="P336" s="24">
        <f t="shared" ref="P336:P347" si="78">SUM(Q336,R336)</f>
        <v>1</v>
      </c>
      <c r="Q336" s="8">
        <f t="shared" ref="Q336:Q347" si="79">S336</f>
        <v>0</v>
      </c>
      <c r="R336" s="8">
        <f t="shared" ref="R336:R347" si="80">SUM(T336:BX336)</f>
        <v>1</v>
      </c>
      <c r="S336" s="8"/>
      <c r="T336" s="8"/>
      <c r="U336" s="8"/>
      <c r="V336" s="8"/>
      <c r="W336" s="8"/>
      <c r="X336" s="8"/>
      <c r="Y336" s="8"/>
      <c r="Z336" s="8"/>
      <c r="AA336" s="8"/>
      <c r="AB336" s="8">
        <v>1</v>
      </c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</row>
    <row r="337" spans="1:76" ht="16.5" customHeight="1" x14ac:dyDescent="0.3">
      <c r="A337" t="s">
        <v>724</v>
      </c>
      <c r="B337" t="s">
        <v>656</v>
      </c>
      <c r="C337" t="s">
        <v>761</v>
      </c>
      <c r="D337" t="s">
        <v>772</v>
      </c>
      <c r="E337" t="s">
        <v>773</v>
      </c>
      <c r="F337" t="s">
        <v>773</v>
      </c>
      <c r="G337" s="5">
        <v>1494255</v>
      </c>
      <c r="H337" s="7" t="s">
        <v>403</v>
      </c>
      <c r="I337" s="5" t="s">
        <v>253</v>
      </c>
      <c r="J337" s="5">
        <v>2</v>
      </c>
      <c r="K337" s="5" t="s">
        <v>102</v>
      </c>
      <c r="L337" s="5" t="s">
        <v>109</v>
      </c>
      <c r="M337" s="5" t="s">
        <v>94</v>
      </c>
      <c r="N337" s="5" t="s">
        <v>283</v>
      </c>
      <c r="O337" s="4"/>
      <c r="P337" s="24">
        <f t="shared" si="78"/>
        <v>56</v>
      </c>
      <c r="Q337" s="8">
        <f t="shared" si="79"/>
        <v>0</v>
      </c>
      <c r="R337" s="8">
        <f t="shared" si="80"/>
        <v>56</v>
      </c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>
        <v>1</v>
      </c>
      <c r="AF337" s="8"/>
      <c r="AG337" s="8"/>
      <c r="AH337" s="8"/>
      <c r="AI337" s="8"/>
      <c r="AJ337" s="8">
        <v>1</v>
      </c>
      <c r="AK337" s="8"/>
      <c r="AL337" s="8"/>
      <c r="AM337" s="8"/>
      <c r="AN337" s="8"/>
      <c r="AO337" s="8"/>
      <c r="AP337" s="8">
        <v>4</v>
      </c>
      <c r="AQ337" s="8"/>
      <c r="AR337" s="8"/>
      <c r="AS337" s="8"/>
      <c r="AT337" s="8"/>
      <c r="AU337" s="8"/>
      <c r="AV337" s="8"/>
      <c r="AW337" s="8">
        <v>1</v>
      </c>
      <c r="AX337" s="8"/>
      <c r="AY337" s="8">
        <v>10</v>
      </c>
      <c r="AZ337" s="8"/>
      <c r="BA337" s="8"/>
      <c r="BB337" s="8"/>
      <c r="BC337" s="8"/>
      <c r="BD337" s="8"/>
      <c r="BE337" s="8"/>
      <c r="BF337" s="8"/>
      <c r="BG337" s="8"/>
      <c r="BH337" s="8">
        <v>3</v>
      </c>
      <c r="BI337" s="8"/>
      <c r="BJ337" s="8">
        <v>15</v>
      </c>
      <c r="BK337" s="8"/>
      <c r="BL337" s="8">
        <v>1</v>
      </c>
      <c r="BM337" s="8"/>
      <c r="BN337" s="8"/>
      <c r="BO337" s="8"/>
      <c r="BP337" s="8"/>
      <c r="BQ337" s="8">
        <v>11</v>
      </c>
      <c r="BR337" s="8"/>
      <c r="BS337" s="8">
        <v>8</v>
      </c>
      <c r="BT337" s="8">
        <v>1</v>
      </c>
      <c r="BU337" s="8"/>
      <c r="BV337" s="8"/>
      <c r="BW337" s="8"/>
      <c r="BX337" s="8"/>
    </row>
    <row r="338" spans="1:76" ht="16.5" customHeight="1" x14ac:dyDescent="0.3">
      <c r="A338" t="s">
        <v>724</v>
      </c>
      <c r="B338" t="s">
        <v>656</v>
      </c>
      <c r="C338" t="s">
        <v>761</v>
      </c>
      <c r="D338" t="s">
        <v>772</v>
      </c>
      <c r="E338" t="s">
        <v>665</v>
      </c>
      <c r="F338" t="s">
        <v>727</v>
      </c>
      <c r="G338" s="5">
        <v>1494848</v>
      </c>
      <c r="H338" s="7" t="s">
        <v>284</v>
      </c>
      <c r="I338" s="5" t="s">
        <v>253</v>
      </c>
      <c r="J338" s="5">
        <v>2</v>
      </c>
      <c r="K338" s="5" t="s">
        <v>102</v>
      </c>
      <c r="L338" s="5" t="s">
        <v>109</v>
      </c>
      <c r="M338" s="5" t="s">
        <v>94</v>
      </c>
      <c r="N338" s="5" t="s">
        <v>285</v>
      </c>
      <c r="O338" s="4"/>
      <c r="P338" s="24">
        <f t="shared" si="78"/>
        <v>10</v>
      </c>
      <c r="Q338" s="8">
        <f t="shared" si="79"/>
        <v>0</v>
      </c>
      <c r="R338" s="8">
        <f t="shared" si="80"/>
        <v>10</v>
      </c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>
        <v>2</v>
      </c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>
        <v>1</v>
      </c>
      <c r="AY338" s="8">
        <v>1</v>
      </c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>
        <v>2</v>
      </c>
      <c r="BK338" s="8"/>
      <c r="BL338" s="8"/>
      <c r="BM338" s="8"/>
      <c r="BN338" s="8"/>
      <c r="BO338" s="8"/>
      <c r="BP338" s="8">
        <v>1</v>
      </c>
      <c r="BQ338" s="8">
        <v>2</v>
      </c>
      <c r="BR338" s="8"/>
      <c r="BS338" s="8">
        <v>1</v>
      </c>
      <c r="BT338" s="8"/>
      <c r="BU338" s="8"/>
      <c r="BV338" s="8"/>
      <c r="BW338" s="8"/>
      <c r="BX338" s="8"/>
    </row>
    <row r="339" spans="1:76" ht="16.5" customHeight="1" x14ac:dyDescent="0.3">
      <c r="A339" t="s">
        <v>724</v>
      </c>
      <c r="B339" t="s">
        <v>656</v>
      </c>
      <c r="C339" t="s">
        <v>761</v>
      </c>
      <c r="D339" t="s">
        <v>772</v>
      </c>
      <c r="E339" t="s">
        <v>728</v>
      </c>
      <c r="F339" t="s">
        <v>728</v>
      </c>
      <c r="G339" s="5">
        <v>1494849</v>
      </c>
      <c r="H339" s="7" t="s">
        <v>286</v>
      </c>
      <c r="I339" s="5" t="s">
        <v>253</v>
      </c>
      <c r="J339" s="5">
        <v>2</v>
      </c>
      <c r="K339" s="5" t="s">
        <v>102</v>
      </c>
      <c r="L339" s="5" t="s">
        <v>109</v>
      </c>
      <c r="M339" s="5" t="s">
        <v>94</v>
      </c>
      <c r="N339" s="5" t="s">
        <v>285</v>
      </c>
      <c r="O339" s="4"/>
      <c r="P339" s="24">
        <f t="shared" si="78"/>
        <v>16</v>
      </c>
      <c r="Q339" s="8">
        <f t="shared" si="79"/>
        <v>0</v>
      </c>
      <c r="R339" s="8">
        <f t="shared" si="80"/>
        <v>16</v>
      </c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>
        <v>1</v>
      </c>
      <c r="AK339" s="8"/>
      <c r="AL339" s="8"/>
      <c r="AM339" s="8"/>
      <c r="AN339" s="8">
        <v>1</v>
      </c>
      <c r="AO339" s="8"/>
      <c r="AP339" s="8"/>
      <c r="AQ339" s="8"/>
      <c r="AR339" s="8"/>
      <c r="AS339" s="8"/>
      <c r="AT339" s="8"/>
      <c r="AU339" s="8"/>
      <c r="AV339" s="8"/>
      <c r="AW339" s="8">
        <v>1</v>
      </c>
      <c r="AX339" s="8"/>
      <c r="AY339" s="8">
        <v>1</v>
      </c>
      <c r="AZ339" s="8"/>
      <c r="BA339" s="8"/>
      <c r="BB339" s="8"/>
      <c r="BC339" s="8">
        <v>1</v>
      </c>
      <c r="BD339" s="8"/>
      <c r="BE339" s="8"/>
      <c r="BF339" s="8"/>
      <c r="BG339" s="8"/>
      <c r="BH339" s="8">
        <v>2</v>
      </c>
      <c r="BI339" s="8"/>
      <c r="BJ339" s="8">
        <v>1</v>
      </c>
      <c r="BK339" s="8"/>
      <c r="BL339" s="8">
        <v>2</v>
      </c>
      <c r="BM339" s="8"/>
      <c r="BN339" s="8"/>
      <c r="BO339" s="8"/>
      <c r="BP339" s="8"/>
      <c r="BQ339" s="8">
        <v>2</v>
      </c>
      <c r="BR339" s="8"/>
      <c r="BS339" s="8">
        <v>1</v>
      </c>
      <c r="BT339" s="8">
        <v>1</v>
      </c>
      <c r="BU339" s="8">
        <v>1</v>
      </c>
      <c r="BV339" s="8">
        <v>1</v>
      </c>
      <c r="BW339" s="8"/>
      <c r="BX339" s="8"/>
    </row>
    <row r="340" spans="1:76" ht="16.5" customHeight="1" x14ac:dyDescent="0.3">
      <c r="A340" t="s">
        <v>724</v>
      </c>
      <c r="B340" t="s">
        <v>656</v>
      </c>
      <c r="C340" t="s">
        <v>761</v>
      </c>
      <c r="D340" t="s">
        <v>772</v>
      </c>
      <c r="E340" t="s">
        <v>730</v>
      </c>
      <c r="F340" t="s">
        <v>730</v>
      </c>
      <c r="G340" s="5">
        <v>1494902</v>
      </c>
      <c r="H340" s="7" t="s">
        <v>404</v>
      </c>
      <c r="I340" s="5" t="s">
        <v>253</v>
      </c>
      <c r="J340" s="5">
        <v>2</v>
      </c>
      <c r="K340" s="5" t="s">
        <v>102</v>
      </c>
      <c r="L340" s="5" t="s">
        <v>109</v>
      </c>
      <c r="M340" s="5" t="s">
        <v>94</v>
      </c>
      <c r="N340" s="5" t="s">
        <v>285</v>
      </c>
      <c r="O340" s="4"/>
      <c r="P340" s="24">
        <f t="shared" si="78"/>
        <v>16</v>
      </c>
      <c r="Q340" s="8">
        <f t="shared" si="79"/>
        <v>0</v>
      </c>
      <c r="R340" s="8">
        <f t="shared" si="80"/>
        <v>16</v>
      </c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>
        <v>1</v>
      </c>
      <c r="AJ340" s="8"/>
      <c r="AK340" s="8"/>
      <c r="AL340" s="8"/>
      <c r="AM340" s="8"/>
      <c r="AN340" s="8">
        <v>5</v>
      </c>
      <c r="AO340" s="8"/>
      <c r="AP340" s="8"/>
      <c r="AQ340" s="8"/>
      <c r="AR340" s="8"/>
      <c r="AS340" s="8"/>
      <c r="AT340" s="8"/>
      <c r="AU340" s="8"/>
      <c r="AV340" s="8"/>
      <c r="AW340" s="8">
        <v>7</v>
      </c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>
        <v>3</v>
      </c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</row>
    <row r="341" spans="1:76" ht="16.5" customHeight="1" x14ac:dyDescent="0.3">
      <c r="A341" t="s">
        <v>724</v>
      </c>
      <c r="B341" t="s">
        <v>656</v>
      </c>
      <c r="C341" t="s">
        <v>761</v>
      </c>
      <c r="D341" t="s">
        <v>772</v>
      </c>
      <c r="E341" t="s">
        <v>771</v>
      </c>
      <c r="F341" t="s">
        <v>771</v>
      </c>
      <c r="G341" s="5">
        <v>1492901</v>
      </c>
      <c r="H341" s="7" t="s">
        <v>287</v>
      </c>
      <c r="I341" s="5" t="s">
        <v>253</v>
      </c>
      <c r="J341" s="5">
        <v>2</v>
      </c>
      <c r="K341" s="5" t="s">
        <v>102</v>
      </c>
      <c r="L341" s="5" t="s">
        <v>109</v>
      </c>
      <c r="M341" s="5" t="s">
        <v>94</v>
      </c>
      <c r="N341" s="5" t="s">
        <v>285</v>
      </c>
      <c r="O341" s="4"/>
      <c r="P341" s="24">
        <f t="shared" si="78"/>
        <v>10</v>
      </c>
      <c r="Q341" s="8">
        <f t="shared" si="79"/>
        <v>0</v>
      </c>
      <c r="R341" s="8">
        <f t="shared" si="80"/>
        <v>10</v>
      </c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>
        <v>1</v>
      </c>
      <c r="AJ341" s="8"/>
      <c r="AK341" s="8"/>
      <c r="AL341" s="8"/>
      <c r="AM341" s="8"/>
      <c r="AN341" s="8">
        <v>2</v>
      </c>
      <c r="AO341" s="8"/>
      <c r="AP341" s="8"/>
      <c r="AQ341" s="8"/>
      <c r="AR341" s="8"/>
      <c r="AS341" s="8"/>
      <c r="AT341" s="8"/>
      <c r="AU341" s="8"/>
      <c r="AV341" s="8"/>
      <c r="AW341" s="8">
        <v>4</v>
      </c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>
        <v>2</v>
      </c>
      <c r="BI341" s="8"/>
      <c r="BJ341" s="8"/>
      <c r="BK341" s="8"/>
      <c r="BL341" s="8"/>
      <c r="BM341" s="8"/>
      <c r="BN341" s="8"/>
      <c r="BO341" s="8">
        <v>1</v>
      </c>
      <c r="BP341" s="8"/>
      <c r="BQ341" s="8"/>
      <c r="BR341" s="8"/>
      <c r="BS341" s="8"/>
      <c r="BT341" s="8"/>
      <c r="BU341" s="8"/>
      <c r="BV341" s="8"/>
      <c r="BW341" s="8"/>
      <c r="BX341" s="8"/>
    </row>
    <row r="342" spans="1:76" ht="16.5" customHeight="1" x14ac:dyDescent="0.3">
      <c r="A342" t="s">
        <v>724</v>
      </c>
      <c r="B342" t="s">
        <v>656</v>
      </c>
      <c r="C342" t="s">
        <v>761</v>
      </c>
      <c r="D342" t="s">
        <v>772</v>
      </c>
      <c r="E342" t="s">
        <v>670</v>
      </c>
      <c r="F342" t="s">
        <v>670</v>
      </c>
      <c r="G342" s="5">
        <v>1495163</v>
      </c>
      <c r="H342" s="7" t="s">
        <v>288</v>
      </c>
      <c r="I342" s="5" t="s">
        <v>253</v>
      </c>
      <c r="J342" s="5">
        <v>2</v>
      </c>
      <c r="K342" s="5" t="s">
        <v>102</v>
      </c>
      <c r="L342" s="5" t="s">
        <v>109</v>
      </c>
      <c r="M342" s="5" t="s">
        <v>94</v>
      </c>
      <c r="N342" s="5" t="s">
        <v>285</v>
      </c>
      <c r="O342" s="4"/>
      <c r="P342" s="24">
        <f t="shared" si="78"/>
        <v>16</v>
      </c>
      <c r="Q342" s="8">
        <f t="shared" si="79"/>
        <v>0</v>
      </c>
      <c r="R342" s="8">
        <f t="shared" si="80"/>
        <v>16</v>
      </c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>
        <v>1</v>
      </c>
      <c r="AJ342" s="8"/>
      <c r="AK342" s="8"/>
      <c r="AL342" s="8"/>
      <c r="AM342" s="8"/>
      <c r="AN342" s="8">
        <v>6</v>
      </c>
      <c r="AO342" s="8"/>
      <c r="AP342" s="8"/>
      <c r="AQ342" s="8"/>
      <c r="AR342" s="8"/>
      <c r="AS342" s="8"/>
      <c r="AT342" s="8"/>
      <c r="AU342" s="8"/>
      <c r="AV342" s="8"/>
      <c r="AW342" s="8">
        <v>7</v>
      </c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>
        <v>1</v>
      </c>
      <c r="BI342" s="8"/>
      <c r="BJ342" s="8"/>
      <c r="BK342" s="8"/>
      <c r="BL342" s="8"/>
      <c r="BM342" s="8"/>
      <c r="BN342" s="8"/>
      <c r="BO342" s="8">
        <v>1</v>
      </c>
      <c r="BP342" s="8"/>
      <c r="BQ342" s="8"/>
      <c r="BR342" s="8"/>
      <c r="BS342" s="8"/>
      <c r="BT342" s="8"/>
      <c r="BU342" s="8"/>
      <c r="BV342" s="8"/>
      <c r="BW342" s="8"/>
      <c r="BX342" s="8"/>
    </row>
    <row r="343" spans="1:76" ht="16.5" customHeight="1" x14ac:dyDescent="0.3">
      <c r="A343" t="s">
        <v>724</v>
      </c>
      <c r="B343" t="s">
        <v>656</v>
      </c>
      <c r="C343" t="s">
        <v>761</v>
      </c>
      <c r="D343" t="s">
        <v>772</v>
      </c>
      <c r="E343" t="s">
        <v>731</v>
      </c>
      <c r="F343" t="s">
        <v>731</v>
      </c>
      <c r="G343" s="5">
        <v>1495195</v>
      </c>
      <c r="H343" s="7" t="s">
        <v>289</v>
      </c>
      <c r="I343" s="5" t="s">
        <v>253</v>
      </c>
      <c r="J343" s="5">
        <v>2</v>
      </c>
      <c r="K343" s="5" t="s">
        <v>102</v>
      </c>
      <c r="L343" s="5" t="s">
        <v>109</v>
      </c>
      <c r="M343" s="5" t="s">
        <v>94</v>
      </c>
      <c r="N343" s="5" t="s">
        <v>285</v>
      </c>
      <c r="O343" s="4"/>
      <c r="P343" s="24">
        <f t="shared" si="78"/>
        <v>14</v>
      </c>
      <c r="Q343" s="8">
        <f t="shared" si="79"/>
        <v>0</v>
      </c>
      <c r="R343" s="8">
        <f t="shared" si="80"/>
        <v>14</v>
      </c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>
        <v>1</v>
      </c>
      <c r="AJ343" s="8"/>
      <c r="AK343" s="8"/>
      <c r="AL343" s="8"/>
      <c r="AM343" s="8"/>
      <c r="AN343" s="8">
        <v>6</v>
      </c>
      <c r="AO343" s="8"/>
      <c r="AP343" s="8"/>
      <c r="AQ343" s="8"/>
      <c r="AR343" s="8"/>
      <c r="AS343" s="8"/>
      <c r="AT343" s="8"/>
      <c r="AU343" s="8"/>
      <c r="AV343" s="8"/>
      <c r="AW343" s="8">
        <v>5</v>
      </c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>
        <v>1</v>
      </c>
      <c r="BI343" s="8"/>
      <c r="BJ343" s="8"/>
      <c r="BK343" s="8"/>
      <c r="BL343" s="8"/>
      <c r="BM343" s="8"/>
      <c r="BN343" s="8"/>
      <c r="BO343" s="8">
        <v>1</v>
      </c>
      <c r="BP343" s="8"/>
      <c r="BQ343" s="8"/>
      <c r="BR343" s="8"/>
      <c r="BS343" s="8"/>
      <c r="BT343" s="8"/>
      <c r="BU343" s="8"/>
      <c r="BV343" s="8"/>
      <c r="BW343" s="8"/>
      <c r="BX343" s="8"/>
    </row>
    <row r="344" spans="1:76" ht="16.5" customHeight="1" x14ac:dyDescent="0.3">
      <c r="A344" t="s">
        <v>724</v>
      </c>
      <c r="B344" t="s">
        <v>656</v>
      </c>
      <c r="C344" t="s">
        <v>761</v>
      </c>
      <c r="D344" t="s">
        <v>772</v>
      </c>
      <c r="E344" t="s">
        <v>741</v>
      </c>
      <c r="F344" t="s">
        <v>741</v>
      </c>
      <c r="G344" s="5">
        <v>1495222</v>
      </c>
      <c r="H344" s="7" t="s">
        <v>291</v>
      </c>
      <c r="I344" s="5" t="s">
        <v>253</v>
      </c>
      <c r="J344" s="5">
        <v>2</v>
      </c>
      <c r="K344" s="5" t="s">
        <v>102</v>
      </c>
      <c r="L344" s="5" t="s">
        <v>109</v>
      </c>
      <c r="M344" s="5" t="s">
        <v>94</v>
      </c>
      <c r="N344" s="5" t="s">
        <v>285</v>
      </c>
      <c r="O344" s="4"/>
      <c r="P344" s="24">
        <f t="shared" si="78"/>
        <v>19</v>
      </c>
      <c r="Q344" s="8">
        <f t="shared" si="79"/>
        <v>0</v>
      </c>
      <c r="R344" s="8">
        <f t="shared" si="80"/>
        <v>19</v>
      </c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>
        <v>2</v>
      </c>
      <c r="AJ344" s="8"/>
      <c r="AK344" s="8"/>
      <c r="AL344" s="8"/>
      <c r="AM344" s="8"/>
      <c r="AN344" s="8">
        <v>6</v>
      </c>
      <c r="AO344" s="8"/>
      <c r="AP344" s="8"/>
      <c r="AQ344" s="8"/>
      <c r="AR344" s="8"/>
      <c r="AS344" s="8"/>
      <c r="AT344" s="8"/>
      <c r="AU344" s="8"/>
      <c r="AV344" s="8"/>
      <c r="AW344" s="8">
        <v>8</v>
      </c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>
        <v>3</v>
      </c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</row>
    <row r="345" spans="1:76" ht="16.5" customHeight="1" x14ac:dyDescent="0.3">
      <c r="A345" t="s">
        <v>724</v>
      </c>
      <c r="B345" t="s">
        <v>656</v>
      </c>
      <c r="C345" t="s">
        <v>761</v>
      </c>
      <c r="D345" t="s">
        <v>772</v>
      </c>
      <c r="E345" t="s">
        <v>734</v>
      </c>
      <c r="F345" t="s">
        <v>734</v>
      </c>
      <c r="G345" s="5">
        <v>1495245</v>
      </c>
      <c r="H345" s="7" t="s">
        <v>297</v>
      </c>
      <c r="I345" s="5" t="s">
        <v>253</v>
      </c>
      <c r="J345" s="5">
        <v>2</v>
      </c>
      <c r="K345" s="5" t="s">
        <v>102</v>
      </c>
      <c r="L345" s="5" t="s">
        <v>109</v>
      </c>
      <c r="M345" s="5" t="s">
        <v>94</v>
      </c>
      <c r="N345" s="5" t="s">
        <v>285</v>
      </c>
      <c r="O345" s="4"/>
      <c r="P345" s="24">
        <f t="shared" si="78"/>
        <v>7</v>
      </c>
      <c r="Q345" s="8">
        <f t="shared" si="79"/>
        <v>0</v>
      </c>
      <c r="R345" s="8">
        <f t="shared" si="80"/>
        <v>7</v>
      </c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>
        <v>1</v>
      </c>
      <c r="AL345" s="8"/>
      <c r="AM345" s="8"/>
      <c r="AN345" s="8"/>
      <c r="AO345" s="8"/>
      <c r="AP345" s="8"/>
      <c r="AQ345" s="8">
        <v>3</v>
      </c>
      <c r="AR345" s="8"/>
      <c r="AS345" s="8"/>
      <c r="AT345" s="8"/>
      <c r="AU345" s="8"/>
      <c r="AV345" s="8"/>
      <c r="AW345" s="8"/>
      <c r="AX345" s="8"/>
      <c r="AY345" s="8"/>
      <c r="AZ345" s="8">
        <v>3</v>
      </c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</row>
    <row r="346" spans="1:76" ht="16.5" customHeight="1" x14ac:dyDescent="0.3">
      <c r="A346" t="s">
        <v>724</v>
      </c>
      <c r="B346" t="s">
        <v>656</v>
      </c>
      <c r="C346" t="s">
        <v>761</v>
      </c>
      <c r="D346" t="s">
        <v>772</v>
      </c>
      <c r="E346" t="s">
        <v>735</v>
      </c>
      <c r="F346" t="s">
        <v>735</v>
      </c>
      <c r="G346" s="5">
        <v>1495263</v>
      </c>
      <c r="H346" s="7" t="s">
        <v>292</v>
      </c>
      <c r="I346" s="5" t="s">
        <v>253</v>
      </c>
      <c r="J346" s="5">
        <v>2</v>
      </c>
      <c r="K346" s="5" t="s">
        <v>102</v>
      </c>
      <c r="L346" s="5" t="s">
        <v>109</v>
      </c>
      <c r="M346" s="5" t="s">
        <v>94</v>
      </c>
      <c r="N346" s="5" t="s">
        <v>285</v>
      </c>
      <c r="O346" s="4"/>
      <c r="P346" s="24">
        <f t="shared" si="78"/>
        <v>26</v>
      </c>
      <c r="Q346" s="8">
        <f t="shared" si="79"/>
        <v>0</v>
      </c>
      <c r="R346" s="8">
        <f t="shared" si="80"/>
        <v>26</v>
      </c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>
        <v>1</v>
      </c>
      <c r="AK346" s="8">
        <v>1</v>
      </c>
      <c r="AL346" s="8"/>
      <c r="AM346" s="8"/>
      <c r="AN346" s="8"/>
      <c r="AO346" s="8"/>
      <c r="AP346" s="8"/>
      <c r="AQ346" s="8">
        <v>8</v>
      </c>
      <c r="AR346" s="8"/>
      <c r="AS346" s="8"/>
      <c r="AT346" s="8"/>
      <c r="AU346" s="8">
        <v>1</v>
      </c>
      <c r="AV346" s="8">
        <v>1</v>
      </c>
      <c r="AW346" s="8"/>
      <c r="AX346" s="8"/>
      <c r="AY346" s="8"/>
      <c r="AZ346" s="8">
        <v>10</v>
      </c>
      <c r="BA346" s="8"/>
      <c r="BB346" s="8"/>
      <c r="BC346" s="8"/>
      <c r="BD346" s="8">
        <v>2</v>
      </c>
      <c r="BE346" s="8"/>
      <c r="BF346" s="8"/>
      <c r="BG346" s="8"/>
      <c r="BH346" s="8">
        <v>2</v>
      </c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</row>
    <row r="347" spans="1:76" ht="16.5" customHeight="1" x14ac:dyDescent="0.3">
      <c r="A347" t="s">
        <v>724</v>
      </c>
      <c r="B347" t="s">
        <v>656</v>
      </c>
      <c r="C347" t="s">
        <v>761</v>
      </c>
      <c r="D347" t="s">
        <v>772</v>
      </c>
      <c r="E347" t="s">
        <v>736</v>
      </c>
      <c r="F347" t="s">
        <v>736</v>
      </c>
      <c r="G347" s="5">
        <v>1495273</v>
      </c>
      <c r="H347" s="7" t="s">
        <v>327</v>
      </c>
      <c r="I347" s="5" t="s">
        <v>253</v>
      </c>
      <c r="J347" s="5">
        <v>2</v>
      </c>
      <c r="K347" s="5" t="s">
        <v>102</v>
      </c>
      <c r="L347" s="5" t="s">
        <v>109</v>
      </c>
      <c r="M347" s="5" t="s">
        <v>94</v>
      </c>
      <c r="N347" s="5" t="s">
        <v>285</v>
      </c>
      <c r="O347" s="4"/>
      <c r="P347" s="24">
        <f t="shared" si="78"/>
        <v>11</v>
      </c>
      <c r="Q347" s="8">
        <f t="shared" si="79"/>
        <v>0</v>
      </c>
      <c r="R347" s="8">
        <f t="shared" si="80"/>
        <v>11</v>
      </c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>
        <v>1</v>
      </c>
      <c r="AN347" s="8"/>
      <c r="AO347" s="8"/>
      <c r="AP347" s="8"/>
      <c r="AQ347" s="8">
        <v>3</v>
      </c>
      <c r="AR347" s="8"/>
      <c r="AS347" s="8"/>
      <c r="AT347" s="8"/>
      <c r="AU347" s="8">
        <v>2</v>
      </c>
      <c r="AV347" s="8"/>
      <c r="AW347" s="8"/>
      <c r="AX347" s="8"/>
      <c r="AY347" s="8"/>
      <c r="AZ347" s="8">
        <v>4</v>
      </c>
      <c r="BA347" s="8"/>
      <c r="BB347" s="8"/>
      <c r="BC347" s="8"/>
      <c r="BD347" s="8">
        <v>1</v>
      </c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</row>
    <row r="348" spans="1:76" ht="16.5" customHeight="1" x14ac:dyDescent="0.3">
      <c r="G348" s="14">
        <v>1494262</v>
      </c>
      <c r="H348" s="15" t="s">
        <v>405</v>
      </c>
      <c r="I348" s="14" t="s">
        <v>253</v>
      </c>
      <c r="J348" s="14">
        <v>2</v>
      </c>
      <c r="K348" s="14" t="s">
        <v>254</v>
      </c>
      <c r="L348" s="14" t="s">
        <v>255</v>
      </c>
      <c r="M348" s="14" t="s">
        <v>94</v>
      </c>
      <c r="N348" s="14" t="s">
        <v>110</v>
      </c>
      <c r="O348" s="13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</row>
    <row r="349" spans="1:76" ht="16.5" customHeight="1" x14ac:dyDescent="0.3">
      <c r="A349" t="s">
        <v>724</v>
      </c>
      <c r="B349" t="s">
        <v>656</v>
      </c>
      <c r="C349" t="s">
        <v>761</v>
      </c>
      <c r="D349" t="s">
        <v>774</v>
      </c>
      <c r="E349" t="s">
        <v>774</v>
      </c>
      <c r="F349" t="s">
        <v>774</v>
      </c>
      <c r="G349" s="5">
        <v>1494262</v>
      </c>
      <c r="H349" s="38" t="s">
        <v>406</v>
      </c>
      <c r="I349" s="5" t="s">
        <v>253</v>
      </c>
      <c r="J349" s="5">
        <v>2</v>
      </c>
      <c r="K349" s="5" t="s">
        <v>254</v>
      </c>
      <c r="L349" s="5" t="s">
        <v>255</v>
      </c>
      <c r="M349" s="5" t="s">
        <v>94</v>
      </c>
      <c r="N349" s="5" t="s">
        <v>110</v>
      </c>
      <c r="O349" s="4"/>
      <c r="P349" s="24">
        <f t="shared" ref="P349:P358" si="81">SUM(Q349,R349)</f>
        <v>1</v>
      </c>
      <c r="Q349" s="8">
        <f t="shared" ref="Q349:Q358" si="82">S349</f>
        <v>0</v>
      </c>
      <c r="R349" s="8">
        <f t="shared" ref="R349:R358" si="83">SUM(T349:BX349)</f>
        <v>1</v>
      </c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>
        <v>1</v>
      </c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</row>
    <row r="350" spans="1:76" ht="16.5" customHeight="1" x14ac:dyDescent="0.3">
      <c r="A350" t="s">
        <v>724</v>
      </c>
      <c r="B350" t="s">
        <v>656</v>
      </c>
      <c r="C350" t="s">
        <v>761</v>
      </c>
      <c r="D350" t="s">
        <v>774</v>
      </c>
      <c r="E350" t="s">
        <v>775</v>
      </c>
      <c r="F350" t="s">
        <v>775</v>
      </c>
      <c r="G350" s="5">
        <v>1494263</v>
      </c>
      <c r="H350" s="7" t="s">
        <v>407</v>
      </c>
      <c r="I350" s="5" t="s">
        <v>253</v>
      </c>
      <c r="J350" s="5">
        <v>2</v>
      </c>
      <c r="K350" s="5" t="s">
        <v>102</v>
      </c>
      <c r="L350" s="5" t="s">
        <v>109</v>
      </c>
      <c r="M350" s="5" t="s">
        <v>94</v>
      </c>
      <c r="N350" s="5" t="s">
        <v>283</v>
      </c>
      <c r="O350" s="4"/>
      <c r="P350" s="24">
        <f t="shared" si="81"/>
        <v>33</v>
      </c>
      <c r="Q350" s="8">
        <f t="shared" si="82"/>
        <v>0</v>
      </c>
      <c r="R350" s="8">
        <f t="shared" si="83"/>
        <v>33</v>
      </c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>
        <v>1</v>
      </c>
      <c r="AJ350" s="8"/>
      <c r="AK350" s="8"/>
      <c r="AL350" s="8"/>
      <c r="AM350" s="8"/>
      <c r="AN350" s="8"/>
      <c r="AO350" s="8"/>
      <c r="AP350" s="8">
        <v>2</v>
      </c>
      <c r="AQ350" s="8"/>
      <c r="AR350" s="8"/>
      <c r="AS350" s="8"/>
      <c r="AT350" s="8"/>
      <c r="AU350" s="8"/>
      <c r="AV350" s="8"/>
      <c r="AW350" s="8">
        <v>1</v>
      </c>
      <c r="AX350" s="8"/>
      <c r="AY350" s="8">
        <v>7</v>
      </c>
      <c r="AZ350" s="8"/>
      <c r="BA350" s="8"/>
      <c r="BB350" s="8"/>
      <c r="BC350" s="8"/>
      <c r="BD350" s="8"/>
      <c r="BE350" s="8"/>
      <c r="BF350" s="8"/>
      <c r="BG350" s="8"/>
      <c r="BH350" s="8">
        <v>1</v>
      </c>
      <c r="BI350" s="8"/>
      <c r="BJ350" s="8">
        <v>7</v>
      </c>
      <c r="BK350" s="8"/>
      <c r="BL350" s="8">
        <v>3</v>
      </c>
      <c r="BM350" s="8"/>
      <c r="BN350" s="8"/>
      <c r="BO350" s="8"/>
      <c r="BP350" s="8"/>
      <c r="BQ350" s="8">
        <v>6</v>
      </c>
      <c r="BR350" s="8"/>
      <c r="BS350" s="8">
        <v>5</v>
      </c>
      <c r="BT350" s="8"/>
      <c r="BU350" s="8"/>
      <c r="BV350" s="8"/>
      <c r="BW350" s="8"/>
      <c r="BX350" s="8"/>
    </row>
    <row r="351" spans="1:76" ht="16.5" customHeight="1" x14ac:dyDescent="0.3">
      <c r="A351" t="s">
        <v>724</v>
      </c>
      <c r="B351" t="s">
        <v>656</v>
      </c>
      <c r="C351" t="s">
        <v>761</v>
      </c>
      <c r="D351" t="s">
        <v>774</v>
      </c>
      <c r="E351" t="s">
        <v>776</v>
      </c>
      <c r="F351" t="s">
        <v>776</v>
      </c>
      <c r="G351" s="5">
        <v>1494264</v>
      </c>
      <c r="H351" s="7" t="s">
        <v>408</v>
      </c>
      <c r="I351" s="5" t="s">
        <v>253</v>
      </c>
      <c r="J351" s="5">
        <v>2</v>
      </c>
      <c r="K351" s="5" t="s">
        <v>102</v>
      </c>
      <c r="L351" s="5" t="s">
        <v>109</v>
      </c>
      <c r="M351" s="5" t="s">
        <v>94</v>
      </c>
      <c r="N351" s="5" t="s">
        <v>283</v>
      </c>
      <c r="O351" s="4"/>
      <c r="P351" s="24">
        <f t="shared" si="81"/>
        <v>22</v>
      </c>
      <c r="Q351" s="8">
        <f t="shared" si="82"/>
        <v>0</v>
      </c>
      <c r="R351" s="8">
        <f t="shared" si="83"/>
        <v>22</v>
      </c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>
        <v>1</v>
      </c>
      <c r="AK351" s="8"/>
      <c r="AL351" s="8"/>
      <c r="AM351" s="8"/>
      <c r="AN351" s="8"/>
      <c r="AO351" s="8"/>
      <c r="AP351" s="8">
        <v>2</v>
      </c>
      <c r="AQ351" s="8"/>
      <c r="AR351" s="8"/>
      <c r="AS351" s="8"/>
      <c r="AT351" s="8"/>
      <c r="AU351" s="8"/>
      <c r="AV351" s="8"/>
      <c r="AW351" s="8">
        <v>1</v>
      </c>
      <c r="AX351" s="8"/>
      <c r="AY351" s="8">
        <v>4</v>
      </c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>
        <v>6</v>
      </c>
      <c r="BK351" s="8"/>
      <c r="BL351" s="8">
        <v>1</v>
      </c>
      <c r="BM351" s="8"/>
      <c r="BN351" s="8"/>
      <c r="BO351" s="8"/>
      <c r="BP351" s="8"/>
      <c r="BQ351" s="8">
        <v>6</v>
      </c>
      <c r="BR351" s="8"/>
      <c r="BS351" s="8">
        <v>1</v>
      </c>
      <c r="BT351" s="8"/>
      <c r="BU351" s="8"/>
      <c r="BV351" s="8"/>
      <c r="BW351" s="8"/>
      <c r="BX351" s="8"/>
    </row>
    <row r="352" spans="1:76" ht="16.5" customHeight="1" x14ac:dyDescent="0.3">
      <c r="A352" t="s">
        <v>724</v>
      </c>
      <c r="B352" t="s">
        <v>656</v>
      </c>
      <c r="C352" t="s">
        <v>761</v>
      </c>
      <c r="D352" t="s">
        <v>774</v>
      </c>
      <c r="E352" t="s">
        <v>777</v>
      </c>
      <c r="F352" t="s">
        <v>776</v>
      </c>
      <c r="G352" s="5">
        <v>1494923</v>
      </c>
      <c r="H352" s="7" t="s">
        <v>409</v>
      </c>
      <c r="I352" s="5" t="s">
        <v>253</v>
      </c>
      <c r="J352" s="5">
        <v>2</v>
      </c>
      <c r="K352" s="5" t="s">
        <v>102</v>
      </c>
      <c r="L352" s="5" t="s">
        <v>109</v>
      </c>
      <c r="M352" s="5" t="s">
        <v>94</v>
      </c>
      <c r="N352" s="5" t="s">
        <v>283</v>
      </c>
      <c r="O352" s="4"/>
      <c r="P352" s="24">
        <f t="shared" si="81"/>
        <v>8</v>
      </c>
      <c r="Q352" s="8">
        <f t="shared" si="82"/>
        <v>0</v>
      </c>
      <c r="R352" s="8">
        <f t="shared" si="83"/>
        <v>8</v>
      </c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>
        <v>1</v>
      </c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>
        <v>2</v>
      </c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>
        <v>2</v>
      </c>
      <c r="BK352" s="8"/>
      <c r="BL352" s="8"/>
      <c r="BM352" s="8"/>
      <c r="BN352" s="8"/>
      <c r="BO352" s="8"/>
      <c r="BP352" s="8"/>
      <c r="BQ352" s="8">
        <v>3</v>
      </c>
      <c r="BR352" s="8"/>
      <c r="BS352" s="8"/>
      <c r="BT352" s="8"/>
      <c r="BU352" s="8"/>
      <c r="BV352" s="8"/>
      <c r="BW352" s="8"/>
      <c r="BX352" s="8"/>
    </row>
    <row r="353" spans="1:76" ht="16.5" customHeight="1" x14ac:dyDescent="0.3">
      <c r="A353" t="s">
        <v>724</v>
      </c>
      <c r="B353" t="s">
        <v>656</v>
      </c>
      <c r="C353" t="s">
        <v>761</v>
      </c>
      <c r="D353" t="s">
        <v>774</v>
      </c>
      <c r="E353" t="s">
        <v>665</v>
      </c>
      <c r="F353" t="s">
        <v>727</v>
      </c>
      <c r="G353" s="5">
        <v>1494850</v>
      </c>
      <c r="H353" s="7" t="s">
        <v>284</v>
      </c>
      <c r="I353" s="5" t="s">
        <v>253</v>
      </c>
      <c r="J353" s="5">
        <v>2</v>
      </c>
      <c r="K353" s="5" t="s">
        <v>102</v>
      </c>
      <c r="L353" s="5" t="s">
        <v>109</v>
      </c>
      <c r="M353" s="5" t="s">
        <v>94</v>
      </c>
      <c r="N353" s="5" t="s">
        <v>285</v>
      </c>
      <c r="O353" s="4"/>
      <c r="P353" s="24">
        <f t="shared" si="81"/>
        <v>24.5</v>
      </c>
      <c r="Q353" s="8">
        <f t="shared" si="82"/>
        <v>0</v>
      </c>
      <c r="R353" s="8">
        <f t="shared" si="83"/>
        <v>24.5</v>
      </c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>
        <v>1</v>
      </c>
      <c r="AK353" s="8"/>
      <c r="AL353" s="8"/>
      <c r="AM353" s="8"/>
      <c r="AN353" s="8">
        <v>2</v>
      </c>
      <c r="AO353" s="8"/>
      <c r="AP353" s="8"/>
      <c r="AQ353" s="8"/>
      <c r="AR353" s="8"/>
      <c r="AS353" s="8"/>
      <c r="AT353" s="8"/>
      <c r="AU353" s="8"/>
      <c r="AV353" s="8"/>
      <c r="AW353" s="8">
        <v>3</v>
      </c>
      <c r="AX353" s="8"/>
      <c r="AY353" s="8">
        <v>4</v>
      </c>
      <c r="AZ353" s="8"/>
      <c r="BA353" s="8"/>
      <c r="BB353" s="8"/>
      <c r="BC353" s="8"/>
      <c r="BD353" s="8"/>
      <c r="BE353" s="8"/>
      <c r="BF353" s="8"/>
      <c r="BG353" s="8"/>
      <c r="BH353" s="8">
        <v>1</v>
      </c>
      <c r="BI353" s="8"/>
      <c r="BJ353" s="8">
        <v>4.5</v>
      </c>
      <c r="BK353" s="8"/>
      <c r="BL353" s="8">
        <v>1</v>
      </c>
      <c r="BM353" s="8"/>
      <c r="BN353" s="8"/>
      <c r="BO353" s="8"/>
      <c r="BP353" s="8"/>
      <c r="BQ353" s="8">
        <v>2</v>
      </c>
      <c r="BR353" s="8"/>
      <c r="BS353" s="8">
        <v>3</v>
      </c>
      <c r="BT353" s="8">
        <v>1</v>
      </c>
      <c r="BU353" s="8">
        <v>1</v>
      </c>
      <c r="BV353" s="8">
        <v>1</v>
      </c>
      <c r="BW353" s="8"/>
      <c r="BX353" s="8"/>
    </row>
    <row r="354" spans="1:76" ht="16.5" customHeight="1" x14ac:dyDescent="0.3">
      <c r="A354" t="s">
        <v>724</v>
      </c>
      <c r="B354" t="s">
        <v>656</v>
      </c>
      <c r="C354" t="s">
        <v>761</v>
      </c>
      <c r="D354" t="s">
        <v>774</v>
      </c>
      <c r="E354" t="s">
        <v>670</v>
      </c>
      <c r="F354" t="s">
        <v>670</v>
      </c>
      <c r="G354" s="5">
        <v>1495128</v>
      </c>
      <c r="H354" s="7" t="s">
        <v>288</v>
      </c>
      <c r="I354" s="5" t="s">
        <v>253</v>
      </c>
      <c r="J354" s="5">
        <v>2</v>
      </c>
      <c r="K354" s="5" t="s">
        <v>102</v>
      </c>
      <c r="L354" s="5" t="s">
        <v>109</v>
      </c>
      <c r="M354" s="5" t="s">
        <v>94</v>
      </c>
      <c r="N354" s="5" t="s">
        <v>285</v>
      </c>
      <c r="O354" s="4"/>
      <c r="P354" s="24">
        <f t="shared" si="81"/>
        <v>23</v>
      </c>
      <c r="Q354" s="8">
        <f t="shared" si="82"/>
        <v>0</v>
      </c>
      <c r="R354" s="8">
        <f t="shared" si="83"/>
        <v>23</v>
      </c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>
        <v>1</v>
      </c>
      <c r="AJ354" s="8"/>
      <c r="AK354" s="8"/>
      <c r="AL354" s="8"/>
      <c r="AM354" s="8"/>
      <c r="AN354" s="8">
        <v>8</v>
      </c>
      <c r="AO354" s="8"/>
      <c r="AP354" s="8"/>
      <c r="AQ354" s="8"/>
      <c r="AR354" s="8"/>
      <c r="AS354" s="8"/>
      <c r="AT354" s="8"/>
      <c r="AU354" s="8"/>
      <c r="AV354" s="8"/>
      <c r="AW354" s="8">
        <v>10</v>
      </c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>
        <v>3</v>
      </c>
      <c r="BI354" s="8"/>
      <c r="BJ354" s="8"/>
      <c r="BK354" s="8"/>
      <c r="BL354" s="8"/>
      <c r="BM354" s="8"/>
      <c r="BN354" s="8"/>
      <c r="BO354" s="8">
        <v>1</v>
      </c>
      <c r="BP354" s="8"/>
      <c r="BQ354" s="8"/>
      <c r="BR354" s="8"/>
      <c r="BS354" s="8"/>
      <c r="BT354" s="8"/>
      <c r="BU354" s="8"/>
      <c r="BV354" s="8"/>
      <c r="BW354" s="8"/>
      <c r="BX354" s="8"/>
    </row>
    <row r="355" spans="1:76" ht="16.5" customHeight="1" x14ac:dyDescent="0.3">
      <c r="A355" t="s">
        <v>724</v>
      </c>
      <c r="B355" t="s">
        <v>656</v>
      </c>
      <c r="C355" t="s">
        <v>761</v>
      </c>
      <c r="D355" t="s">
        <v>774</v>
      </c>
      <c r="E355" t="s">
        <v>731</v>
      </c>
      <c r="F355" t="s">
        <v>731</v>
      </c>
      <c r="G355" s="5">
        <v>1495162</v>
      </c>
      <c r="H355" s="7" t="s">
        <v>289</v>
      </c>
      <c r="I355" s="5" t="s">
        <v>253</v>
      </c>
      <c r="J355" s="5">
        <v>2</v>
      </c>
      <c r="K355" s="5" t="s">
        <v>102</v>
      </c>
      <c r="L355" s="5" t="s">
        <v>109</v>
      </c>
      <c r="M355" s="5" t="s">
        <v>94</v>
      </c>
      <c r="N355" s="5" t="s">
        <v>285</v>
      </c>
      <c r="O355" s="4"/>
      <c r="P355" s="24">
        <f t="shared" si="81"/>
        <v>22</v>
      </c>
      <c r="Q355" s="8">
        <f t="shared" si="82"/>
        <v>0</v>
      </c>
      <c r="R355" s="8">
        <f t="shared" si="83"/>
        <v>22</v>
      </c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>
        <v>1</v>
      </c>
      <c r="AJ355" s="8"/>
      <c r="AK355" s="8"/>
      <c r="AL355" s="8"/>
      <c r="AM355" s="8"/>
      <c r="AN355" s="8">
        <v>8</v>
      </c>
      <c r="AO355" s="8"/>
      <c r="AP355" s="8"/>
      <c r="AQ355" s="8"/>
      <c r="AR355" s="8"/>
      <c r="AS355" s="8"/>
      <c r="AT355" s="8"/>
      <c r="AU355" s="8"/>
      <c r="AV355" s="8"/>
      <c r="AW355" s="8">
        <v>9</v>
      </c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>
        <v>3</v>
      </c>
      <c r="BI355" s="8"/>
      <c r="BJ355" s="8"/>
      <c r="BK355" s="8"/>
      <c r="BL355" s="8"/>
      <c r="BM355" s="8"/>
      <c r="BN355" s="8"/>
      <c r="BO355" s="8">
        <v>1</v>
      </c>
      <c r="BP355" s="8"/>
      <c r="BQ355" s="8"/>
      <c r="BR355" s="8"/>
      <c r="BS355" s="8"/>
      <c r="BT355" s="8"/>
      <c r="BU355" s="8"/>
      <c r="BV355" s="8"/>
      <c r="BW355" s="8"/>
      <c r="BX355" s="8"/>
    </row>
    <row r="356" spans="1:76" ht="16.5" customHeight="1" x14ac:dyDescent="0.3">
      <c r="A356" t="s">
        <v>724</v>
      </c>
      <c r="B356" t="s">
        <v>656</v>
      </c>
      <c r="C356" t="s">
        <v>761</v>
      </c>
      <c r="D356" t="s">
        <v>774</v>
      </c>
      <c r="E356" t="s">
        <v>741</v>
      </c>
      <c r="F356" t="s">
        <v>741</v>
      </c>
      <c r="G356" s="5">
        <v>1495194</v>
      </c>
      <c r="H356" s="7" t="s">
        <v>291</v>
      </c>
      <c r="I356" s="5" t="s">
        <v>253</v>
      </c>
      <c r="J356" s="5">
        <v>2</v>
      </c>
      <c r="K356" s="5" t="s">
        <v>102</v>
      </c>
      <c r="L356" s="5" t="s">
        <v>109</v>
      </c>
      <c r="M356" s="5" t="s">
        <v>94</v>
      </c>
      <c r="N356" s="5" t="s">
        <v>285</v>
      </c>
      <c r="O356" s="4"/>
      <c r="P356" s="24">
        <f t="shared" si="81"/>
        <v>10</v>
      </c>
      <c r="Q356" s="8">
        <f t="shared" si="82"/>
        <v>0</v>
      </c>
      <c r="R356" s="8">
        <f t="shared" si="83"/>
        <v>10</v>
      </c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>
        <v>1</v>
      </c>
      <c r="AJ356" s="8"/>
      <c r="AK356" s="8"/>
      <c r="AL356" s="8"/>
      <c r="AM356" s="8"/>
      <c r="AN356" s="8">
        <v>3</v>
      </c>
      <c r="AO356" s="8"/>
      <c r="AP356" s="8"/>
      <c r="AQ356" s="8"/>
      <c r="AR356" s="8"/>
      <c r="AS356" s="8"/>
      <c r="AT356" s="8"/>
      <c r="AU356" s="8"/>
      <c r="AV356" s="8"/>
      <c r="AW356" s="8">
        <v>5</v>
      </c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>
        <v>1</v>
      </c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</row>
    <row r="357" spans="1:76" ht="16.5" customHeight="1" x14ac:dyDescent="0.3">
      <c r="A357" t="s">
        <v>724</v>
      </c>
      <c r="B357" t="s">
        <v>656</v>
      </c>
      <c r="C357" t="s">
        <v>761</v>
      </c>
      <c r="D357" t="s">
        <v>774</v>
      </c>
      <c r="E357" t="s">
        <v>734</v>
      </c>
      <c r="F357" t="s">
        <v>734</v>
      </c>
      <c r="G357" s="5">
        <v>1495221</v>
      </c>
      <c r="H357" s="7" t="s">
        <v>297</v>
      </c>
      <c r="I357" s="5" t="s">
        <v>253</v>
      </c>
      <c r="J357" s="5">
        <v>2</v>
      </c>
      <c r="K357" s="5" t="s">
        <v>102</v>
      </c>
      <c r="L357" s="5" t="s">
        <v>109</v>
      </c>
      <c r="M357" s="5" t="s">
        <v>94</v>
      </c>
      <c r="N357" s="5" t="s">
        <v>285</v>
      </c>
      <c r="O357" s="4"/>
      <c r="P357" s="24">
        <f t="shared" si="81"/>
        <v>5</v>
      </c>
      <c r="Q357" s="8">
        <f t="shared" si="82"/>
        <v>0</v>
      </c>
      <c r="R357" s="8">
        <f t="shared" si="83"/>
        <v>5</v>
      </c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>
        <v>1</v>
      </c>
      <c r="AL357" s="8"/>
      <c r="AM357" s="8"/>
      <c r="AN357" s="8"/>
      <c r="AO357" s="8"/>
      <c r="AP357" s="8"/>
      <c r="AQ357" s="8">
        <v>2</v>
      </c>
      <c r="AR357" s="8"/>
      <c r="AS357" s="8"/>
      <c r="AT357" s="8"/>
      <c r="AU357" s="8"/>
      <c r="AV357" s="8"/>
      <c r="AW357" s="8"/>
      <c r="AX357" s="8"/>
      <c r="AY357" s="8"/>
      <c r="AZ357" s="8">
        <v>2</v>
      </c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</row>
    <row r="358" spans="1:76" ht="16.5" customHeight="1" x14ac:dyDescent="0.3">
      <c r="A358" t="s">
        <v>724</v>
      </c>
      <c r="B358" t="s">
        <v>656</v>
      </c>
      <c r="C358" t="s">
        <v>761</v>
      </c>
      <c r="D358" t="s">
        <v>774</v>
      </c>
      <c r="E358" t="s">
        <v>735</v>
      </c>
      <c r="F358" t="s">
        <v>735</v>
      </c>
      <c r="G358" s="5">
        <v>1495244</v>
      </c>
      <c r="H358" s="7" t="s">
        <v>292</v>
      </c>
      <c r="I358" s="5" t="s">
        <v>253</v>
      </c>
      <c r="J358" s="5">
        <v>2</v>
      </c>
      <c r="K358" s="5" t="s">
        <v>102</v>
      </c>
      <c r="L358" s="5" t="s">
        <v>109</v>
      </c>
      <c r="M358" s="5" t="s">
        <v>94</v>
      </c>
      <c r="N358" s="5" t="s">
        <v>285</v>
      </c>
      <c r="O358" s="4"/>
      <c r="P358" s="24">
        <f t="shared" si="81"/>
        <v>23</v>
      </c>
      <c r="Q358" s="8">
        <f t="shared" si="82"/>
        <v>0</v>
      </c>
      <c r="R358" s="8">
        <f t="shared" si="83"/>
        <v>23</v>
      </c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>
        <v>1</v>
      </c>
      <c r="AK358" s="8"/>
      <c r="AL358" s="8"/>
      <c r="AM358" s="8"/>
      <c r="AN358" s="8">
        <v>1</v>
      </c>
      <c r="AO358" s="8"/>
      <c r="AP358" s="8"/>
      <c r="AQ358" s="8">
        <v>4</v>
      </c>
      <c r="AR358" s="8"/>
      <c r="AS358" s="8"/>
      <c r="AT358" s="8"/>
      <c r="AU358" s="8">
        <v>1</v>
      </c>
      <c r="AV358" s="8"/>
      <c r="AW358" s="8"/>
      <c r="AX358" s="8"/>
      <c r="AY358" s="8"/>
      <c r="AZ358" s="8">
        <v>8</v>
      </c>
      <c r="BA358" s="8"/>
      <c r="BB358" s="8"/>
      <c r="BC358" s="8"/>
      <c r="BD358" s="8">
        <v>4</v>
      </c>
      <c r="BE358" s="8">
        <v>2</v>
      </c>
      <c r="BF358" s="8"/>
      <c r="BG358" s="8"/>
      <c r="BH358" s="8">
        <v>2</v>
      </c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</row>
    <row r="359" spans="1:76" ht="16.5" customHeight="1" x14ac:dyDescent="0.3">
      <c r="G359" s="14">
        <v>1494269</v>
      </c>
      <c r="H359" s="15" t="s">
        <v>410</v>
      </c>
      <c r="I359" s="14" t="s">
        <v>253</v>
      </c>
      <c r="J359" s="14">
        <v>2</v>
      </c>
      <c r="K359" s="14" t="s">
        <v>254</v>
      </c>
      <c r="L359" s="14" t="s">
        <v>255</v>
      </c>
      <c r="M359" s="14" t="s">
        <v>94</v>
      </c>
      <c r="N359" s="14" t="s">
        <v>110</v>
      </c>
      <c r="O359" s="13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</row>
    <row r="360" spans="1:76" ht="16.5" customHeight="1" x14ac:dyDescent="0.3">
      <c r="A360" t="s">
        <v>724</v>
      </c>
      <c r="B360" t="s">
        <v>656</v>
      </c>
      <c r="C360" t="s">
        <v>761</v>
      </c>
      <c r="D360" t="s">
        <v>778</v>
      </c>
      <c r="E360" t="s">
        <v>778</v>
      </c>
      <c r="F360" t="s">
        <v>778</v>
      </c>
      <c r="G360" s="5">
        <v>1494269</v>
      </c>
      <c r="H360" s="38" t="s">
        <v>411</v>
      </c>
      <c r="I360" s="5" t="s">
        <v>253</v>
      </c>
      <c r="J360" s="5">
        <v>2</v>
      </c>
      <c r="K360" s="5" t="s">
        <v>254</v>
      </c>
      <c r="L360" s="5" t="s">
        <v>255</v>
      </c>
      <c r="M360" s="5" t="s">
        <v>94</v>
      </c>
      <c r="N360" s="5" t="s">
        <v>110</v>
      </c>
      <c r="O360" s="4"/>
      <c r="P360" s="24">
        <f t="shared" ref="P360:P368" si="84">SUM(Q360,R360)</f>
        <v>1</v>
      </c>
      <c r="Q360" s="8">
        <f t="shared" ref="Q360:Q368" si="85">S360</f>
        <v>0</v>
      </c>
      <c r="R360" s="8">
        <f t="shared" ref="R360:R368" si="86">SUM(T360:BX360)</f>
        <v>1</v>
      </c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>
        <v>1</v>
      </c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</row>
    <row r="361" spans="1:76" ht="16.5" customHeight="1" x14ac:dyDescent="0.3">
      <c r="A361" t="s">
        <v>724</v>
      </c>
      <c r="B361" t="s">
        <v>656</v>
      </c>
      <c r="C361" t="s">
        <v>761</v>
      </c>
      <c r="D361" t="s">
        <v>778</v>
      </c>
      <c r="E361" t="s">
        <v>779</v>
      </c>
      <c r="F361" t="s">
        <v>779</v>
      </c>
      <c r="G361" s="5">
        <v>1494519</v>
      </c>
      <c r="H361" s="7" t="s">
        <v>412</v>
      </c>
      <c r="I361" s="5" t="s">
        <v>253</v>
      </c>
      <c r="J361" s="5">
        <v>2</v>
      </c>
      <c r="K361" s="5" t="s">
        <v>102</v>
      </c>
      <c r="L361" s="5" t="s">
        <v>109</v>
      </c>
      <c r="M361" s="5" t="s">
        <v>94</v>
      </c>
      <c r="N361" s="5" t="s">
        <v>283</v>
      </c>
      <c r="O361" s="4"/>
      <c r="P361" s="24">
        <f t="shared" si="84"/>
        <v>28</v>
      </c>
      <c r="Q361" s="8">
        <f t="shared" si="85"/>
        <v>0</v>
      </c>
      <c r="R361" s="8">
        <f t="shared" si="86"/>
        <v>28</v>
      </c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>
        <v>1</v>
      </c>
      <c r="AJ361" s="8"/>
      <c r="AK361" s="8"/>
      <c r="AL361" s="8"/>
      <c r="AM361" s="8"/>
      <c r="AN361" s="8"/>
      <c r="AO361" s="8"/>
      <c r="AP361" s="8">
        <v>3</v>
      </c>
      <c r="AQ361" s="8"/>
      <c r="AR361" s="8"/>
      <c r="AS361" s="8"/>
      <c r="AT361" s="8"/>
      <c r="AU361" s="8"/>
      <c r="AV361" s="8"/>
      <c r="AW361" s="8">
        <v>1</v>
      </c>
      <c r="AX361" s="8"/>
      <c r="AY361" s="8">
        <v>5</v>
      </c>
      <c r="AZ361" s="8"/>
      <c r="BA361" s="8"/>
      <c r="BB361" s="8"/>
      <c r="BC361" s="8"/>
      <c r="BD361" s="8"/>
      <c r="BE361" s="8"/>
      <c r="BF361" s="8"/>
      <c r="BG361" s="8"/>
      <c r="BH361" s="8">
        <v>1</v>
      </c>
      <c r="BI361" s="8"/>
      <c r="BJ361" s="8">
        <v>7</v>
      </c>
      <c r="BK361" s="8"/>
      <c r="BL361" s="8">
        <v>1</v>
      </c>
      <c r="BM361" s="8"/>
      <c r="BN361" s="8"/>
      <c r="BO361" s="8"/>
      <c r="BP361" s="8"/>
      <c r="BQ361" s="8">
        <v>4</v>
      </c>
      <c r="BR361" s="8"/>
      <c r="BS361" s="8">
        <v>5</v>
      </c>
      <c r="BT361" s="8"/>
      <c r="BU361" s="8"/>
      <c r="BV361" s="8"/>
      <c r="BW361" s="8"/>
      <c r="BX361" s="8"/>
    </row>
    <row r="362" spans="1:76" ht="16.5" customHeight="1" x14ac:dyDescent="0.3">
      <c r="A362" t="s">
        <v>724</v>
      </c>
      <c r="B362" t="s">
        <v>656</v>
      </c>
      <c r="C362" t="s">
        <v>761</v>
      </c>
      <c r="D362" t="s">
        <v>778</v>
      </c>
      <c r="E362" t="s">
        <v>780</v>
      </c>
      <c r="F362" t="s">
        <v>780</v>
      </c>
      <c r="G362" s="5">
        <v>1494924</v>
      </c>
      <c r="H362" s="7" t="s">
        <v>413</v>
      </c>
      <c r="I362" s="5" t="s">
        <v>253</v>
      </c>
      <c r="J362" s="5">
        <v>2</v>
      </c>
      <c r="K362" s="5" t="s">
        <v>102</v>
      </c>
      <c r="L362" s="5" t="s">
        <v>109</v>
      </c>
      <c r="M362" s="5" t="s">
        <v>94</v>
      </c>
      <c r="N362" s="5" t="s">
        <v>283</v>
      </c>
      <c r="O362" s="4"/>
      <c r="P362" s="24">
        <f t="shared" si="84"/>
        <v>6</v>
      </c>
      <c r="Q362" s="8">
        <f t="shared" si="85"/>
        <v>0</v>
      </c>
      <c r="R362" s="8">
        <f t="shared" si="86"/>
        <v>6</v>
      </c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>
        <v>1</v>
      </c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>
        <v>1</v>
      </c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>
        <v>1</v>
      </c>
      <c r="BK362" s="8"/>
      <c r="BL362" s="8">
        <v>1</v>
      </c>
      <c r="BM362" s="8"/>
      <c r="BN362" s="8"/>
      <c r="BO362" s="8"/>
      <c r="BP362" s="8"/>
      <c r="BQ362" s="8">
        <v>1</v>
      </c>
      <c r="BR362" s="8"/>
      <c r="BS362" s="8">
        <v>1</v>
      </c>
      <c r="BT362" s="8"/>
      <c r="BU362" s="8"/>
      <c r="BV362" s="8"/>
      <c r="BW362" s="8"/>
      <c r="BX362" s="8"/>
    </row>
    <row r="363" spans="1:76" ht="16.5" customHeight="1" x14ac:dyDescent="0.3">
      <c r="A363" t="s">
        <v>724</v>
      </c>
      <c r="B363" t="s">
        <v>656</v>
      </c>
      <c r="C363" t="s">
        <v>761</v>
      </c>
      <c r="D363" t="s">
        <v>778</v>
      </c>
      <c r="E363" t="s">
        <v>781</v>
      </c>
      <c r="F363" t="s">
        <v>780</v>
      </c>
      <c r="G363" s="5">
        <v>1494925</v>
      </c>
      <c r="H363" s="7" t="s">
        <v>414</v>
      </c>
      <c r="I363" s="5" t="s">
        <v>253</v>
      </c>
      <c r="J363" s="5">
        <v>2</v>
      </c>
      <c r="K363" s="5" t="s">
        <v>102</v>
      </c>
      <c r="L363" s="5" t="s">
        <v>109</v>
      </c>
      <c r="M363" s="5" t="s">
        <v>94</v>
      </c>
      <c r="N363" s="5" t="s">
        <v>283</v>
      </c>
      <c r="O363" s="4"/>
      <c r="P363" s="24">
        <f t="shared" si="84"/>
        <v>7</v>
      </c>
      <c r="Q363" s="8">
        <f t="shared" si="85"/>
        <v>0</v>
      </c>
      <c r="R363" s="8">
        <f t="shared" si="86"/>
        <v>7</v>
      </c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>
        <v>1</v>
      </c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>
        <v>2</v>
      </c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>
        <v>1</v>
      </c>
      <c r="BK363" s="8"/>
      <c r="BL363" s="8">
        <v>1</v>
      </c>
      <c r="BM363" s="8"/>
      <c r="BN363" s="8"/>
      <c r="BO363" s="8"/>
      <c r="BP363" s="8"/>
      <c r="BQ363" s="8">
        <v>1</v>
      </c>
      <c r="BR363" s="8"/>
      <c r="BS363" s="8">
        <v>1</v>
      </c>
      <c r="BT363" s="8"/>
      <c r="BU363" s="8"/>
      <c r="BV363" s="8"/>
      <c r="BW363" s="8"/>
      <c r="BX363" s="8"/>
    </row>
    <row r="364" spans="1:76" ht="16.5" customHeight="1" x14ac:dyDescent="0.3">
      <c r="A364" t="s">
        <v>724</v>
      </c>
      <c r="B364" t="s">
        <v>656</v>
      </c>
      <c r="C364" t="s">
        <v>761</v>
      </c>
      <c r="D364" t="s">
        <v>778</v>
      </c>
      <c r="E364" t="s">
        <v>665</v>
      </c>
      <c r="F364" t="s">
        <v>727</v>
      </c>
      <c r="G364" s="5">
        <v>1494853</v>
      </c>
      <c r="H364" s="7" t="s">
        <v>284</v>
      </c>
      <c r="I364" s="5" t="s">
        <v>253</v>
      </c>
      <c r="J364" s="5">
        <v>2</v>
      </c>
      <c r="K364" s="5" t="s">
        <v>102</v>
      </c>
      <c r="L364" s="5" t="s">
        <v>109</v>
      </c>
      <c r="M364" s="5" t="s">
        <v>94</v>
      </c>
      <c r="N364" s="5" t="s">
        <v>285</v>
      </c>
      <c r="O364" s="4"/>
      <c r="P364" s="24">
        <f t="shared" si="84"/>
        <v>12</v>
      </c>
      <c r="Q364" s="8">
        <f t="shared" si="85"/>
        <v>0</v>
      </c>
      <c r="R364" s="8">
        <f t="shared" si="86"/>
        <v>12</v>
      </c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>
        <v>1</v>
      </c>
      <c r="AK364" s="8"/>
      <c r="AL364" s="8"/>
      <c r="AM364" s="8"/>
      <c r="AN364" s="8">
        <v>1</v>
      </c>
      <c r="AO364" s="8"/>
      <c r="AP364" s="8">
        <v>1</v>
      </c>
      <c r="AQ364" s="8"/>
      <c r="AR364" s="8"/>
      <c r="AS364" s="8"/>
      <c r="AT364" s="8"/>
      <c r="AU364" s="8"/>
      <c r="AV364" s="8"/>
      <c r="AW364" s="8">
        <v>1</v>
      </c>
      <c r="AX364" s="8"/>
      <c r="AY364" s="8">
        <v>1</v>
      </c>
      <c r="AZ364" s="8"/>
      <c r="BA364" s="8"/>
      <c r="BB364" s="8"/>
      <c r="BC364" s="8"/>
      <c r="BD364" s="8"/>
      <c r="BE364" s="8"/>
      <c r="BF364" s="8"/>
      <c r="BG364" s="8"/>
      <c r="BH364" s="8">
        <v>2</v>
      </c>
      <c r="BI364" s="8"/>
      <c r="BJ364" s="8"/>
      <c r="BK364" s="8"/>
      <c r="BL364" s="8">
        <v>1</v>
      </c>
      <c r="BM364" s="8"/>
      <c r="BN364" s="8"/>
      <c r="BO364" s="8"/>
      <c r="BP364" s="8"/>
      <c r="BQ364" s="8">
        <v>2</v>
      </c>
      <c r="BR364" s="8"/>
      <c r="BS364" s="8">
        <v>1</v>
      </c>
      <c r="BT364" s="8"/>
      <c r="BU364" s="8"/>
      <c r="BV364" s="8">
        <v>1</v>
      </c>
      <c r="BW364" s="8"/>
      <c r="BX364" s="8"/>
    </row>
    <row r="365" spans="1:76" ht="16.5" customHeight="1" x14ac:dyDescent="0.3">
      <c r="A365" t="s">
        <v>724</v>
      </c>
      <c r="B365" t="s">
        <v>656</v>
      </c>
      <c r="C365" t="s">
        <v>761</v>
      </c>
      <c r="D365" t="s">
        <v>778</v>
      </c>
      <c r="E365" t="s">
        <v>747</v>
      </c>
      <c r="F365" t="s">
        <v>747</v>
      </c>
      <c r="G365" s="5">
        <v>1495129</v>
      </c>
      <c r="H365" s="7" t="s">
        <v>367</v>
      </c>
      <c r="I365" s="5" t="s">
        <v>253</v>
      </c>
      <c r="J365" s="5">
        <v>2</v>
      </c>
      <c r="K365" s="5" t="s">
        <v>102</v>
      </c>
      <c r="L365" s="5" t="s">
        <v>109</v>
      </c>
      <c r="M365" s="5" t="s">
        <v>94</v>
      </c>
      <c r="N365" s="5" t="s">
        <v>285</v>
      </c>
      <c r="O365" s="4"/>
      <c r="P365" s="24">
        <f t="shared" si="84"/>
        <v>20</v>
      </c>
      <c r="Q365" s="8">
        <f t="shared" si="85"/>
        <v>0</v>
      </c>
      <c r="R365" s="8">
        <f t="shared" si="86"/>
        <v>20</v>
      </c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>
        <v>1</v>
      </c>
      <c r="AJ365" s="8"/>
      <c r="AK365" s="8"/>
      <c r="AL365" s="8"/>
      <c r="AM365" s="8"/>
      <c r="AN365" s="8">
        <v>7</v>
      </c>
      <c r="AO365" s="8"/>
      <c r="AP365" s="8"/>
      <c r="AQ365" s="8"/>
      <c r="AR365" s="8"/>
      <c r="AS365" s="8"/>
      <c r="AT365" s="8"/>
      <c r="AU365" s="8"/>
      <c r="AV365" s="8"/>
      <c r="AW365" s="8">
        <v>8</v>
      </c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>
        <v>3</v>
      </c>
      <c r="BI365" s="8"/>
      <c r="BJ365" s="8"/>
      <c r="BK365" s="8"/>
      <c r="BL365" s="8"/>
      <c r="BM365" s="8"/>
      <c r="BN365" s="8"/>
      <c r="BO365" s="8">
        <v>1</v>
      </c>
      <c r="BP365" s="8"/>
      <c r="BQ365" s="8"/>
      <c r="BR365" s="8"/>
      <c r="BS365" s="8"/>
      <c r="BT365" s="8"/>
      <c r="BU365" s="8"/>
      <c r="BV365" s="8"/>
      <c r="BW365" s="8"/>
      <c r="BX365" s="8"/>
    </row>
    <row r="366" spans="1:76" ht="16.5" customHeight="1" x14ac:dyDescent="0.3">
      <c r="A366" t="s">
        <v>724</v>
      </c>
      <c r="B366" t="s">
        <v>656</v>
      </c>
      <c r="C366" t="s">
        <v>761</v>
      </c>
      <c r="D366" t="s">
        <v>778</v>
      </c>
      <c r="E366" t="s">
        <v>741</v>
      </c>
      <c r="F366" t="s">
        <v>741</v>
      </c>
      <c r="G366" s="5">
        <v>1495164</v>
      </c>
      <c r="H366" s="7" t="s">
        <v>291</v>
      </c>
      <c r="I366" s="5" t="s">
        <v>253</v>
      </c>
      <c r="J366" s="5">
        <v>2</v>
      </c>
      <c r="K366" s="5" t="s">
        <v>102</v>
      </c>
      <c r="L366" s="5" t="s">
        <v>109</v>
      </c>
      <c r="M366" s="5" t="s">
        <v>94</v>
      </c>
      <c r="N366" s="5" t="s">
        <v>285</v>
      </c>
      <c r="O366" s="4"/>
      <c r="P366" s="24">
        <f t="shared" si="84"/>
        <v>10</v>
      </c>
      <c r="Q366" s="8">
        <f t="shared" si="85"/>
        <v>0</v>
      </c>
      <c r="R366" s="8">
        <f t="shared" si="86"/>
        <v>10</v>
      </c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>
        <v>1</v>
      </c>
      <c r="AJ366" s="8"/>
      <c r="AK366" s="8"/>
      <c r="AL366" s="8"/>
      <c r="AM366" s="8"/>
      <c r="AN366" s="8">
        <v>3</v>
      </c>
      <c r="AO366" s="8"/>
      <c r="AP366" s="8"/>
      <c r="AQ366" s="8"/>
      <c r="AR366" s="8"/>
      <c r="AS366" s="8"/>
      <c r="AT366" s="8"/>
      <c r="AU366" s="8"/>
      <c r="AV366" s="8"/>
      <c r="AW366" s="8">
        <v>4</v>
      </c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>
        <v>2</v>
      </c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</row>
    <row r="367" spans="1:76" ht="16.5" customHeight="1" x14ac:dyDescent="0.3">
      <c r="A367" t="s">
        <v>724</v>
      </c>
      <c r="B367" t="s">
        <v>656</v>
      </c>
      <c r="C367" t="s">
        <v>761</v>
      </c>
      <c r="D367" t="s">
        <v>778</v>
      </c>
      <c r="E367" t="s">
        <v>734</v>
      </c>
      <c r="F367" t="s">
        <v>734</v>
      </c>
      <c r="G367" s="5">
        <v>1495196</v>
      </c>
      <c r="H367" s="7" t="s">
        <v>297</v>
      </c>
      <c r="I367" s="5" t="s">
        <v>253</v>
      </c>
      <c r="J367" s="5">
        <v>2</v>
      </c>
      <c r="K367" s="5" t="s">
        <v>102</v>
      </c>
      <c r="L367" s="5" t="s">
        <v>109</v>
      </c>
      <c r="M367" s="5" t="s">
        <v>94</v>
      </c>
      <c r="N367" s="5" t="s">
        <v>285</v>
      </c>
      <c r="O367" s="4"/>
      <c r="P367" s="24">
        <f t="shared" si="84"/>
        <v>5</v>
      </c>
      <c r="Q367" s="8">
        <f t="shared" si="85"/>
        <v>0</v>
      </c>
      <c r="R367" s="8">
        <f t="shared" si="86"/>
        <v>5</v>
      </c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>
        <v>1</v>
      </c>
      <c r="AL367" s="8"/>
      <c r="AM367" s="8"/>
      <c r="AN367" s="8"/>
      <c r="AO367" s="8"/>
      <c r="AP367" s="8"/>
      <c r="AQ367" s="8">
        <v>2</v>
      </c>
      <c r="AR367" s="8"/>
      <c r="AS367" s="8"/>
      <c r="AT367" s="8"/>
      <c r="AU367" s="8"/>
      <c r="AV367" s="8"/>
      <c r="AW367" s="8"/>
      <c r="AX367" s="8"/>
      <c r="AY367" s="8"/>
      <c r="AZ367" s="8">
        <v>2</v>
      </c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</row>
    <row r="368" spans="1:76" ht="16.5" customHeight="1" x14ac:dyDescent="0.3">
      <c r="A368" t="s">
        <v>724</v>
      </c>
      <c r="B368" t="s">
        <v>656</v>
      </c>
      <c r="C368" t="s">
        <v>761</v>
      </c>
      <c r="D368" t="s">
        <v>778</v>
      </c>
      <c r="E368" t="s">
        <v>735</v>
      </c>
      <c r="F368" t="s">
        <v>735</v>
      </c>
      <c r="G368" s="5">
        <v>1495223</v>
      </c>
      <c r="H368" s="7" t="s">
        <v>292</v>
      </c>
      <c r="I368" s="5" t="s">
        <v>253</v>
      </c>
      <c r="J368" s="5">
        <v>2</v>
      </c>
      <c r="K368" s="5" t="s">
        <v>102</v>
      </c>
      <c r="L368" s="5" t="s">
        <v>109</v>
      </c>
      <c r="M368" s="5" t="s">
        <v>94</v>
      </c>
      <c r="N368" s="5" t="s">
        <v>285</v>
      </c>
      <c r="O368" s="4"/>
      <c r="P368" s="24">
        <f t="shared" si="84"/>
        <v>12</v>
      </c>
      <c r="Q368" s="8">
        <f t="shared" si="85"/>
        <v>0</v>
      </c>
      <c r="R368" s="8">
        <f t="shared" si="86"/>
        <v>12</v>
      </c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>
        <v>1</v>
      </c>
      <c r="AK368" s="8"/>
      <c r="AL368" s="8"/>
      <c r="AM368" s="8"/>
      <c r="AN368" s="8"/>
      <c r="AO368" s="8"/>
      <c r="AP368" s="8"/>
      <c r="AQ368" s="8">
        <v>1</v>
      </c>
      <c r="AR368" s="8"/>
      <c r="AS368" s="8"/>
      <c r="AT368" s="8"/>
      <c r="AU368" s="8">
        <v>1</v>
      </c>
      <c r="AV368" s="8"/>
      <c r="AW368" s="8"/>
      <c r="AX368" s="8"/>
      <c r="AY368" s="8"/>
      <c r="AZ368" s="8">
        <v>5</v>
      </c>
      <c r="BA368" s="8"/>
      <c r="BB368" s="8"/>
      <c r="BC368" s="8"/>
      <c r="BD368" s="8">
        <v>2</v>
      </c>
      <c r="BE368" s="8">
        <v>1</v>
      </c>
      <c r="BF368" s="8"/>
      <c r="BG368" s="8"/>
      <c r="BH368" s="8">
        <v>1</v>
      </c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</row>
    <row r="369" spans="1:76" ht="16.5" customHeight="1" x14ac:dyDescent="0.3">
      <c r="G369" s="14">
        <v>1494276</v>
      </c>
      <c r="H369" s="15" t="s">
        <v>415</v>
      </c>
      <c r="I369" s="14" t="s">
        <v>253</v>
      </c>
      <c r="J369" s="14">
        <v>2</v>
      </c>
      <c r="K369" s="14" t="s">
        <v>254</v>
      </c>
      <c r="L369" s="14" t="s">
        <v>255</v>
      </c>
      <c r="M369" s="14" t="s">
        <v>94</v>
      </c>
      <c r="N369" s="14" t="s">
        <v>110</v>
      </c>
      <c r="O369" s="13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</row>
    <row r="370" spans="1:76" ht="16.5" customHeight="1" x14ac:dyDescent="0.3">
      <c r="A370" t="s">
        <v>724</v>
      </c>
      <c r="B370" t="s">
        <v>656</v>
      </c>
      <c r="C370" t="s">
        <v>761</v>
      </c>
      <c r="D370" t="s">
        <v>782</v>
      </c>
      <c r="E370" t="s">
        <v>782</v>
      </c>
      <c r="F370" t="s">
        <v>782</v>
      </c>
      <c r="G370" s="5">
        <v>1494276</v>
      </c>
      <c r="H370" s="38" t="s">
        <v>416</v>
      </c>
      <c r="I370" s="5" t="s">
        <v>253</v>
      </c>
      <c r="J370" s="5">
        <v>2</v>
      </c>
      <c r="K370" s="5" t="s">
        <v>254</v>
      </c>
      <c r="L370" s="5" t="s">
        <v>255</v>
      </c>
      <c r="M370" s="5" t="s">
        <v>94</v>
      </c>
      <c r="N370" s="5" t="s">
        <v>110</v>
      </c>
      <c r="O370" s="4"/>
      <c r="P370" s="24">
        <f t="shared" ref="P370:P376" si="87">SUM(Q370,R370)</f>
        <v>1</v>
      </c>
      <c r="Q370" s="8">
        <f t="shared" ref="Q370:Q376" si="88">S370</f>
        <v>0</v>
      </c>
      <c r="R370" s="8">
        <f t="shared" ref="R370:R376" si="89">SUM(T370:BX370)</f>
        <v>1</v>
      </c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>
        <v>1</v>
      </c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</row>
    <row r="371" spans="1:76" ht="16.5" customHeight="1" x14ac:dyDescent="0.3">
      <c r="A371" t="s">
        <v>724</v>
      </c>
      <c r="B371" t="s">
        <v>656</v>
      </c>
      <c r="C371" t="s">
        <v>761</v>
      </c>
      <c r="D371" t="s">
        <v>782</v>
      </c>
      <c r="E371" t="s">
        <v>783</v>
      </c>
      <c r="F371" t="s">
        <v>783</v>
      </c>
      <c r="G371" s="5">
        <v>1494523</v>
      </c>
      <c r="H371" s="7" t="s">
        <v>417</v>
      </c>
      <c r="I371" s="5" t="s">
        <v>253</v>
      </c>
      <c r="J371" s="5">
        <v>2</v>
      </c>
      <c r="K371" s="5" t="s">
        <v>102</v>
      </c>
      <c r="L371" s="5" t="s">
        <v>109</v>
      </c>
      <c r="M371" s="5" t="s">
        <v>94</v>
      </c>
      <c r="N371" s="5" t="s">
        <v>283</v>
      </c>
      <c r="O371" s="4"/>
      <c r="P371" s="24">
        <f t="shared" si="87"/>
        <v>16</v>
      </c>
      <c r="Q371" s="8">
        <f t="shared" si="88"/>
        <v>0</v>
      </c>
      <c r="R371" s="8">
        <f t="shared" si="89"/>
        <v>16</v>
      </c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>
        <v>1</v>
      </c>
      <c r="AK371" s="8"/>
      <c r="AL371" s="8"/>
      <c r="AM371" s="8"/>
      <c r="AN371" s="8"/>
      <c r="AO371" s="8"/>
      <c r="AP371" s="8">
        <v>2</v>
      </c>
      <c r="AQ371" s="8"/>
      <c r="AR371" s="8"/>
      <c r="AS371" s="8"/>
      <c r="AT371" s="8"/>
      <c r="AU371" s="8"/>
      <c r="AV371" s="8"/>
      <c r="AW371" s="8"/>
      <c r="AX371" s="8"/>
      <c r="AY371" s="8">
        <v>4</v>
      </c>
      <c r="AZ371" s="8"/>
      <c r="BA371" s="8"/>
      <c r="BB371" s="8"/>
      <c r="BC371" s="8"/>
      <c r="BD371" s="8"/>
      <c r="BE371" s="8"/>
      <c r="BF371" s="8"/>
      <c r="BG371" s="8"/>
      <c r="BH371" s="8">
        <v>1</v>
      </c>
      <c r="BI371" s="8"/>
      <c r="BJ371" s="8">
        <v>2</v>
      </c>
      <c r="BK371" s="8"/>
      <c r="BL371" s="8">
        <v>1</v>
      </c>
      <c r="BM371" s="8"/>
      <c r="BN371" s="8"/>
      <c r="BO371" s="8"/>
      <c r="BP371" s="8"/>
      <c r="BQ371" s="8">
        <v>3</v>
      </c>
      <c r="BR371" s="8"/>
      <c r="BS371" s="8">
        <v>2</v>
      </c>
      <c r="BT371" s="8"/>
      <c r="BU371" s="8"/>
      <c r="BV371" s="8"/>
      <c r="BW371" s="8"/>
      <c r="BX371" s="8"/>
    </row>
    <row r="372" spans="1:76" ht="16.5" customHeight="1" x14ac:dyDescent="0.3">
      <c r="A372" t="s">
        <v>724</v>
      </c>
      <c r="B372" t="s">
        <v>656</v>
      </c>
      <c r="C372" t="s">
        <v>761</v>
      </c>
      <c r="D372" t="s">
        <v>782</v>
      </c>
      <c r="E372" t="s">
        <v>784</v>
      </c>
      <c r="F372" t="s">
        <v>784</v>
      </c>
      <c r="G372" s="5">
        <v>1494524</v>
      </c>
      <c r="H372" s="7" t="s">
        <v>418</v>
      </c>
      <c r="I372" s="5" t="s">
        <v>253</v>
      </c>
      <c r="J372" s="5">
        <v>2</v>
      </c>
      <c r="K372" s="5" t="s">
        <v>102</v>
      </c>
      <c r="L372" s="5" t="s">
        <v>109</v>
      </c>
      <c r="M372" s="5" t="s">
        <v>94</v>
      </c>
      <c r="N372" s="5" t="s">
        <v>283</v>
      </c>
      <c r="O372" s="4"/>
      <c r="P372" s="24">
        <f t="shared" si="87"/>
        <v>15</v>
      </c>
      <c r="Q372" s="8">
        <f t="shared" si="88"/>
        <v>0</v>
      </c>
      <c r="R372" s="8">
        <f t="shared" si="89"/>
        <v>15</v>
      </c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>
        <v>1</v>
      </c>
      <c r="AK372" s="8"/>
      <c r="AL372" s="8"/>
      <c r="AM372" s="8"/>
      <c r="AN372" s="8"/>
      <c r="AO372" s="8"/>
      <c r="AP372" s="8">
        <v>1</v>
      </c>
      <c r="AQ372" s="8"/>
      <c r="AR372" s="8"/>
      <c r="AS372" s="8"/>
      <c r="AT372" s="8"/>
      <c r="AU372" s="8"/>
      <c r="AV372" s="8"/>
      <c r="AW372" s="8"/>
      <c r="AX372" s="8"/>
      <c r="AY372" s="8">
        <v>3</v>
      </c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>
        <v>4</v>
      </c>
      <c r="BK372" s="8"/>
      <c r="BL372" s="8">
        <v>1</v>
      </c>
      <c r="BM372" s="8"/>
      <c r="BN372" s="8"/>
      <c r="BO372" s="8">
        <v>1</v>
      </c>
      <c r="BP372" s="8"/>
      <c r="BQ372" s="8">
        <v>3</v>
      </c>
      <c r="BR372" s="8"/>
      <c r="BS372" s="8">
        <v>1</v>
      </c>
      <c r="BT372" s="8"/>
      <c r="BU372" s="8"/>
      <c r="BV372" s="8"/>
      <c r="BW372" s="8"/>
      <c r="BX372" s="8"/>
    </row>
    <row r="373" spans="1:76" ht="16.5" customHeight="1" x14ac:dyDescent="0.3">
      <c r="A373" t="s">
        <v>724</v>
      </c>
      <c r="B373" t="s">
        <v>656</v>
      </c>
      <c r="C373" t="s">
        <v>761</v>
      </c>
      <c r="D373" t="s">
        <v>782</v>
      </c>
      <c r="E373" t="s">
        <v>665</v>
      </c>
      <c r="F373" t="s">
        <v>727</v>
      </c>
      <c r="G373" s="5">
        <v>1494854</v>
      </c>
      <c r="H373" s="7" t="s">
        <v>284</v>
      </c>
      <c r="I373" s="5" t="s">
        <v>253</v>
      </c>
      <c r="J373" s="5">
        <v>2</v>
      </c>
      <c r="K373" s="5" t="s">
        <v>102</v>
      </c>
      <c r="L373" s="5" t="s">
        <v>109</v>
      </c>
      <c r="M373" s="5" t="s">
        <v>94</v>
      </c>
      <c r="N373" s="5" t="s">
        <v>285</v>
      </c>
      <c r="O373" s="4"/>
      <c r="P373" s="24">
        <f t="shared" si="87"/>
        <v>11</v>
      </c>
      <c r="Q373" s="8">
        <f t="shared" si="88"/>
        <v>0</v>
      </c>
      <c r="R373" s="8">
        <f t="shared" si="89"/>
        <v>11</v>
      </c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>
        <v>1</v>
      </c>
      <c r="AK373" s="8"/>
      <c r="AL373" s="8"/>
      <c r="AM373" s="8"/>
      <c r="AN373" s="8">
        <v>1</v>
      </c>
      <c r="AO373" s="8"/>
      <c r="AP373" s="8"/>
      <c r="AQ373" s="8"/>
      <c r="AR373" s="8"/>
      <c r="AS373" s="8"/>
      <c r="AT373" s="8"/>
      <c r="AU373" s="8"/>
      <c r="AV373" s="8"/>
      <c r="AW373" s="8">
        <v>1</v>
      </c>
      <c r="AX373" s="8"/>
      <c r="AY373" s="8">
        <v>1</v>
      </c>
      <c r="AZ373" s="8"/>
      <c r="BA373" s="8"/>
      <c r="BB373" s="8"/>
      <c r="BC373" s="8"/>
      <c r="BD373" s="8"/>
      <c r="BE373" s="8"/>
      <c r="BF373" s="8"/>
      <c r="BG373" s="8"/>
      <c r="BH373" s="8">
        <v>1</v>
      </c>
      <c r="BI373" s="8"/>
      <c r="BJ373" s="8">
        <v>2</v>
      </c>
      <c r="BK373" s="8"/>
      <c r="BL373" s="8"/>
      <c r="BM373" s="8"/>
      <c r="BN373" s="8"/>
      <c r="BO373" s="8">
        <v>1</v>
      </c>
      <c r="BP373" s="8"/>
      <c r="BQ373" s="8">
        <v>1</v>
      </c>
      <c r="BR373" s="8"/>
      <c r="BS373" s="8">
        <v>1</v>
      </c>
      <c r="BT373" s="8"/>
      <c r="BU373" s="8"/>
      <c r="BV373" s="8">
        <v>1</v>
      </c>
      <c r="BW373" s="8"/>
      <c r="BX373" s="8"/>
    </row>
    <row r="374" spans="1:76" ht="16.5" customHeight="1" x14ac:dyDescent="0.3">
      <c r="A374" t="s">
        <v>724</v>
      </c>
      <c r="B374" t="s">
        <v>656</v>
      </c>
      <c r="C374" t="s">
        <v>761</v>
      </c>
      <c r="D374" t="s">
        <v>782</v>
      </c>
      <c r="E374" t="s">
        <v>747</v>
      </c>
      <c r="F374" t="s">
        <v>747</v>
      </c>
      <c r="G374" s="5">
        <v>1495097</v>
      </c>
      <c r="H374" s="7" t="s">
        <v>367</v>
      </c>
      <c r="I374" s="5" t="s">
        <v>253</v>
      </c>
      <c r="J374" s="5">
        <v>2</v>
      </c>
      <c r="K374" s="5" t="s">
        <v>102</v>
      </c>
      <c r="L374" s="5" t="s">
        <v>109</v>
      </c>
      <c r="M374" s="5" t="s">
        <v>94</v>
      </c>
      <c r="N374" s="5" t="s">
        <v>285</v>
      </c>
      <c r="O374" s="4"/>
      <c r="P374" s="24">
        <f t="shared" si="87"/>
        <v>22</v>
      </c>
      <c r="Q374" s="8">
        <f t="shared" si="88"/>
        <v>0</v>
      </c>
      <c r="R374" s="8">
        <f t="shared" si="89"/>
        <v>22</v>
      </c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>
        <v>1</v>
      </c>
      <c r="AJ374" s="8"/>
      <c r="AK374" s="8"/>
      <c r="AL374" s="8"/>
      <c r="AM374" s="8"/>
      <c r="AN374" s="8">
        <v>8</v>
      </c>
      <c r="AO374" s="8"/>
      <c r="AP374" s="8"/>
      <c r="AQ374" s="8"/>
      <c r="AR374" s="8"/>
      <c r="AS374" s="8"/>
      <c r="AT374" s="8"/>
      <c r="AU374" s="8"/>
      <c r="AV374" s="8"/>
      <c r="AW374" s="8">
        <v>8</v>
      </c>
      <c r="AX374" s="8"/>
      <c r="AY374" s="8"/>
      <c r="AZ374" s="8">
        <v>1</v>
      </c>
      <c r="BA374" s="8"/>
      <c r="BB374" s="8"/>
      <c r="BC374" s="8"/>
      <c r="BD374" s="8"/>
      <c r="BE374" s="8"/>
      <c r="BF374" s="8"/>
      <c r="BG374" s="8"/>
      <c r="BH374" s="8">
        <v>3</v>
      </c>
      <c r="BI374" s="8"/>
      <c r="BJ374" s="8"/>
      <c r="BK374" s="8"/>
      <c r="BL374" s="8"/>
      <c r="BM374" s="8"/>
      <c r="BN374" s="8"/>
      <c r="BO374" s="8">
        <v>1</v>
      </c>
      <c r="BP374" s="8"/>
      <c r="BQ374" s="8"/>
      <c r="BR374" s="8"/>
      <c r="BS374" s="8"/>
      <c r="BT374" s="8"/>
      <c r="BU374" s="8"/>
      <c r="BV374" s="8"/>
      <c r="BW374" s="8"/>
      <c r="BX374" s="8"/>
    </row>
    <row r="375" spans="1:76" ht="16.5" customHeight="1" x14ac:dyDescent="0.3">
      <c r="A375" t="s">
        <v>724</v>
      </c>
      <c r="B375" t="s">
        <v>656</v>
      </c>
      <c r="C375" t="s">
        <v>761</v>
      </c>
      <c r="D375" t="s">
        <v>782</v>
      </c>
      <c r="E375" t="s">
        <v>741</v>
      </c>
      <c r="F375" t="s">
        <v>741</v>
      </c>
      <c r="G375" s="5">
        <v>1495130</v>
      </c>
      <c r="H375" s="7" t="s">
        <v>291</v>
      </c>
      <c r="I375" s="5" t="s">
        <v>253</v>
      </c>
      <c r="J375" s="5">
        <v>2</v>
      </c>
      <c r="K375" s="5" t="s">
        <v>102</v>
      </c>
      <c r="L375" s="5" t="s">
        <v>109</v>
      </c>
      <c r="M375" s="5" t="s">
        <v>94</v>
      </c>
      <c r="N375" s="5" t="s">
        <v>285</v>
      </c>
      <c r="O375" s="4"/>
      <c r="P375" s="24">
        <f t="shared" si="87"/>
        <v>10</v>
      </c>
      <c r="Q375" s="8">
        <f t="shared" si="88"/>
        <v>0</v>
      </c>
      <c r="R375" s="8">
        <f t="shared" si="89"/>
        <v>10</v>
      </c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>
        <v>1</v>
      </c>
      <c r="AJ375" s="8"/>
      <c r="AK375" s="8"/>
      <c r="AL375" s="8"/>
      <c r="AM375" s="8"/>
      <c r="AN375" s="8">
        <v>3</v>
      </c>
      <c r="AO375" s="8"/>
      <c r="AP375" s="8"/>
      <c r="AQ375" s="8"/>
      <c r="AR375" s="8"/>
      <c r="AS375" s="8"/>
      <c r="AT375" s="8"/>
      <c r="AU375" s="8"/>
      <c r="AV375" s="8"/>
      <c r="AW375" s="8">
        <v>4</v>
      </c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>
        <v>1</v>
      </c>
      <c r="BI375" s="8"/>
      <c r="BJ375" s="8"/>
      <c r="BK375" s="8"/>
      <c r="BL375" s="8"/>
      <c r="BM375" s="8"/>
      <c r="BN375" s="8"/>
      <c r="BO375" s="8">
        <v>1</v>
      </c>
      <c r="BP375" s="8"/>
      <c r="BQ375" s="8"/>
      <c r="BR375" s="8"/>
      <c r="BS375" s="8"/>
      <c r="BT375" s="8"/>
      <c r="BU375" s="8"/>
      <c r="BV375" s="8"/>
      <c r="BW375" s="8"/>
      <c r="BX375" s="8"/>
    </row>
    <row r="376" spans="1:76" ht="16.5" customHeight="1" x14ac:dyDescent="0.3">
      <c r="A376" t="s">
        <v>724</v>
      </c>
      <c r="B376" t="s">
        <v>656</v>
      </c>
      <c r="C376" t="s">
        <v>761</v>
      </c>
      <c r="D376" t="s">
        <v>782</v>
      </c>
      <c r="E376" t="s">
        <v>735</v>
      </c>
      <c r="F376" t="s">
        <v>735</v>
      </c>
      <c r="G376" s="5">
        <v>1495166</v>
      </c>
      <c r="H376" s="7" t="s">
        <v>292</v>
      </c>
      <c r="I376" s="5" t="s">
        <v>253</v>
      </c>
      <c r="J376" s="5">
        <v>2</v>
      </c>
      <c r="K376" s="5" t="s">
        <v>102</v>
      </c>
      <c r="L376" s="5" t="s">
        <v>109</v>
      </c>
      <c r="M376" s="5" t="s">
        <v>94</v>
      </c>
      <c r="N376" s="5" t="s">
        <v>285</v>
      </c>
      <c r="O376" s="4"/>
      <c r="P376" s="24">
        <f t="shared" si="87"/>
        <v>12</v>
      </c>
      <c r="Q376" s="8">
        <f t="shared" si="88"/>
        <v>0</v>
      </c>
      <c r="R376" s="8">
        <f t="shared" si="89"/>
        <v>12</v>
      </c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>
        <v>1</v>
      </c>
      <c r="AL376" s="8"/>
      <c r="AM376" s="8"/>
      <c r="AN376" s="8"/>
      <c r="AO376" s="8"/>
      <c r="AP376" s="8"/>
      <c r="AQ376" s="8">
        <v>3</v>
      </c>
      <c r="AR376" s="8"/>
      <c r="AS376" s="8"/>
      <c r="AT376" s="8"/>
      <c r="AU376" s="8">
        <v>1</v>
      </c>
      <c r="AV376" s="8">
        <v>1</v>
      </c>
      <c r="AW376" s="8"/>
      <c r="AX376" s="8"/>
      <c r="AY376" s="8"/>
      <c r="AZ376" s="8">
        <v>3</v>
      </c>
      <c r="BA376" s="8"/>
      <c r="BB376" s="8"/>
      <c r="BC376" s="8"/>
      <c r="BD376" s="8">
        <v>1</v>
      </c>
      <c r="BE376" s="8">
        <v>1</v>
      </c>
      <c r="BF376" s="8"/>
      <c r="BG376" s="8"/>
      <c r="BH376" s="8">
        <v>1</v>
      </c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</row>
    <row r="377" spans="1:76" ht="16.5" customHeight="1" x14ac:dyDescent="0.3">
      <c r="G377" s="10">
        <v>1494137</v>
      </c>
      <c r="H377" s="11" t="s">
        <v>419</v>
      </c>
      <c r="I377" s="10" t="s">
        <v>253</v>
      </c>
      <c r="J377" s="10">
        <v>1</v>
      </c>
      <c r="K377" s="10" t="s">
        <v>254</v>
      </c>
      <c r="L377" s="10" t="s">
        <v>255</v>
      </c>
      <c r="M377" s="10" t="s">
        <v>94</v>
      </c>
      <c r="N377" s="10" t="s">
        <v>116</v>
      </c>
      <c r="O377" s="9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</row>
    <row r="378" spans="1:76" ht="16.5" customHeight="1" x14ac:dyDescent="0.3">
      <c r="A378" t="s">
        <v>724</v>
      </c>
      <c r="B378" t="s">
        <v>656</v>
      </c>
      <c r="C378" t="s">
        <v>785</v>
      </c>
      <c r="D378" t="s">
        <v>785</v>
      </c>
      <c r="E378" t="s">
        <v>785</v>
      </c>
      <c r="F378" t="s">
        <v>785</v>
      </c>
      <c r="G378" s="5">
        <v>1494137</v>
      </c>
      <c r="H378" s="38" t="s">
        <v>420</v>
      </c>
      <c r="I378" s="5" t="s">
        <v>253</v>
      </c>
      <c r="J378" s="5">
        <v>1</v>
      </c>
      <c r="K378" s="5" t="s">
        <v>254</v>
      </c>
      <c r="L378" s="5" t="s">
        <v>255</v>
      </c>
      <c r="M378" s="5" t="s">
        <v>94</v>
      </c>
      <c r="N378" s="5" t="s">
        <v>116</v>
      </c>
      <c r="O378" s="4"/>
      <c r="P378" s="24">
        <f>SUM(Q378,R378)</f>
        <v>1</v>
      </c>
      <c r="Q378" s="8">
        <f>S378</f>
        <v>0</v>
      </c>
      <c r="R378" s="8">
        <f>SUM(T378:BX378)</f>
        <v>1</v>
      </c>
      <c r="S378" s="8"/>
      <c r="T378" s="8"/>
      <c r="U378" s="8"/>
      <c r="V378" s="8">
        <v>1</v>
      </c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</row>
    <row r="379" spans="1:76" ht="16.5" customHeight="1" x14ac:dyDescent="0.3">
      <c r="G379" s="14">
        <v>1494525</v>
      </c>
      <c r="H379" s="15" t="s">
        <v>421</v>
      </c>
      <c r="I379" s="14" t="s">
        <v>253</v>
      </c>
      <c r="J379" s="14">
        <v>1</v>
      </c>
      <c r="K379" s="14" t="s">
        <v>102</v>
      </c>
      <c r="L379" s="14" t="s">
        <v>109</v>
      </c>
      <c r="M379" s="14" t="s">
        <v>94</v>
      </c>
      <c r="N379" s="14" t="s">
        <v>258</v>
      </c>
      <c r="O379" s="13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</row>
    <row r="380" spans="1:76" ht="16.5" customHeight="1" x14ac:dyDescent="0.3">
      <c r="A380" t="s">
        <v>724</v>
      </c>
      <c r="B380" t="s">
        <v>656</v>
      </c>
      <c r="C380" t="s">
        <v>785</v>
      </c>
      <c r="D380" t="s">
        <v>785</v>
      </c>
      <c r="E380" t="s">
        <v>786</v>
      </c>
      <c r="F380" t="s">
        <v>786</v>
      </c>
      <c r="G380" s="5">
        <v>1494525</v>
      </c>
      <c r="H380" s="7" t="s">
        <v>422</v>
      </c>
      <c r="I380" s="5" t="s">
        <v>253</v>
      </c>
      <c r="J380" s="5">
        <v>1</v>
      </c>
      <c r="K380" s="5" t="s">
        <v>102</v>
      </c>
      <c r="L380" s="5" t="s">
        <v>109</v>
      </c>
      <c r="M380" s="5" t="s">
        <v>94</v>
      </c>
      <c r="N380" s="5" t="s">
        <v>258</v>
      </c>
      <c r="O380" s="4"/>
      <c r="P380" s="24">
        <f t="shared" ref="P380:P399" si="90">SUM(Q380,R380)</f>
        <v>1</v>
      </c>
      <c r="Q380" s="8">
        <f t="shared" ref="Q380:Q399" si="91">S380</f>
        <v>0</v>
      </c>
      <c r="R380" s="8">
        <f t="shared" ref="R380:R399" si="92">SUM(T380:BX380)</f>
        <v>1</v>
      </c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>
        <v>1</v>
      </c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</row>
    <row r="381" spans="1:76" ht="16.5" customHeight="1" x14ac:dyDescent="0.3">
      <c r="A381" t="s">
        <v>724</v>
      </c>
      <c r="B381" t="s">
        <v>656</v>
      </c>
      <c r="C381" t="s">
        <v>785</v>
      </c>
      <c r="D381" t="s">
        <v>785</v>
      </c>
      <c r="E381" t="s">
        <v>786</v>
      </c>
      <c r="F381" t="s">
        <v>659</v>
      </c>
      <c r="G381" s="5">
        <v>1492879</v>
      </c>
      <c r="H381" s="7" t="s">
        <v>260</v>
      </c>
      <c r="I381" s="5" t="s">
        <v>253</v>
      </c>
      <c r="J381" s="5">
        <v>1</v>
      </c>
      <c r="K381" s="5" t="s">
        <v>102</v>
      </c>
      <c r="L381" s="5" t="s">
        <v>109</v>
      </c>
      <c r="M381" s="5" t="s">
        <v>94</v>
      </c>
      <c r="N381" s="5" t="s">
        <v>261</v>
      </c>
      <c r="O381" s="4"/>
      <c r="P381" s="24">
        <f t="shared" si="90"/>
        <v>19</v>
      </c>
      <c r="Q381" s="8">
        <f t="shared" si="91"/>
        <v>0</v>
      </c>
      <c r="R381" s="8">
        <f t="shared" si="92"/>
        <v>19</v>
      </c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>
        <v>1</v>
      </c>
      <c r="AK381" s="8"/>
      <c r="AL381" s="8"/>
      <c r="AM381" s="8"/>
      <c r="AN381" s="8"/>
      <c r="AO381" s="8"/>
      <c r="AP381" s="8">
        <v>3</v>
      </c>
      <c r="AQ381" s="8"/>
      <c r="AR381" s="8"/>
      <c r="AS381" s="8"/>
      <c r="AT381" s="8"/>
      <c r="AU381" s="8"/>
      <c r="AV381" s="8"/>
      <c r="AW381" s="8"/>
      <c r="AX381" s="8"/>
      <c r="AY381" s="8">
        <v>3</v>
      </c>
      <c r="AZ381" s="8"/>
      <c r="BA381" s="8"/>
      <c r="BB381" s="8"/>
      <c r="BC381" s="8">
        <v>1</v>
      </c>
      <c r="BD381" s="8"/>
      <c r="BE381" s="8"/>
      <c r="BF381" s="8"/>
      <c r="BG381" s="8"/>
      <c r="BH381" s="8">
        <v>1</v>
      </c>
      <c r="BI381" s="8"/>
      <c r="BJ381" s="8">
        <v>2</v>
      </c>
      <c r="BK381" s="8"/>
      <c r="BL381" s="8">
        <v>2</v>
      </c>
      <c r="BM381" s="8"/>
      <c r="BN381" s="8"/>
      <c r="BO381" s="8"/>
      <c r="BP381" s="8"/>
      <c r="BQ381" s="8">
        <v>4</v>
      </c>
      <c r="BR381" s="8"/>
      <c r="BS381" s="8">
        <v>2</v>
      </c>
      <c r="BT381" s="8"/>
      <c r="BU381" s="8"/>
      <c r="BV381" s="8"/>
      <c r="BW381" s="8"/>
      <c r="BX381" s="8"/>
    </row>
    <row r="382" spans="1:76" ht="16.5" customHeight="1" x14ac:dyDescent="0.3">
      <c r="A382" t="s">
        <v>724</v>
      </c>
      <c r="B382" t="s">
        <v>656</v>
      </c>
      <c r="C382" t="s">
        <v>785</v>
      </c>
      <c r="D382" t="s">
        <v>785</v>
      </c>
      <c r="E382" t="s">
        <v>786</v>
      </c>
      <c r="F382" t="s">
        <v>660</v>
      </c>
      <c r="G382" s="5">
        <v>1494795</v>
      </c>
      <c r="H382" s="7" t="s">
        <v>262</v>
      </c>
      <c r="I382" s="5" t="s">
        <v>253</v>
      </c>
      <c r="J382" s="5">
        <v>1</v>
      </c>
      <c r="K382" s="5" t="s">
        <v>102</v>
      </c>
      <c r="L382" s="5" t="s">
        <v>109</v>
      </c>
      <c r="M382" s="5" t="s">
        <v>94</v>
      </c>
      <c r="N382" s="5" t="s">
        <v>261</v>
      </c>
      <c r="O382" s="4"/>
      <c r="P382" s="24">
        <f t="shared" si="90"/>
        <v>8</v>
      </c>
      <c r="Q382" s="8">
        <f t="shared" si="91"/>
        <v>0</v>
      </c>
      <c r="R382" s="8">
        <f t="shared" si="92"/>
        <v>8</v>
      </c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>
        <v>1</v>
      </c>
      <c r="AK382" s="8"/>
      <c r="AL382" s="8"/>
      <c r="AM382" s="8"/>
      <c r="AN382" s="8"/>
      <c r="AO382" s="8"/>
      <c r="AP382" s="8">
        <v>1</v>
      </c>
      <c r="AQ382" s="8"/>
      <c r="AR382" s="8"/>
      <c r="AS382" s="8"/>
      <c r="AT382" s="8"/>
      <c r="AU382" s="8"/>
      <c r="AV382" s="8"/>
      <c r="AW382" s="8"/>
      <c r="AX382" s="8"/>
      <c r="AY382" s="8">
        <v>1</v>
      </c>
      <c r="AZ382" s="8"/>
      <c r="BA382" s="8"/>
      <c r="BB382" s="8"/>
      <c r="BC382" s="8"/>
      <c r="BD382" s="8"/>
      <c r="BE382" s="8"/>
      <c r="BF382" s="8"/>
      <c r="BG382" s="8"/>
      <c r="BH382" s="8">
        <v>1</v>
      </c>
      <c r="BI382" s="8"/>
      <c r="BJ382" s="8">
        <v>1</v>
      </c>
      <c r="BK382" s="8"/>
      <c r="BL382" s="8">
        <v>1</v>
      </c>
      <c r="BM382" s="8"/>
      <c r="BN382" s="8"/>
      <c r="BO382" s="8"/>
      <c r="BP382" s="8"/>
      <c r="BQ382" s="8">
        <v>2</v>
      </c>
      <c r="BR382" s="8"/>
      <c r="BS382" s="8"/>
      <c r="BT382" s="8"/>
      <c r="BU382" s="8"/>
      <c r="BV382" s="8"/>
      <c r="BW382" s="8"/>
      <c r="BX382" s="8"/>
    </row>
    <row r="383" spans="1:76" ht="16.5" customHeight="1" x14ac:dyDescent="0.3">
      <c r="A383" t="s">
        <v>724</v>
      </c>
      <c r="B383" t="s">
        <v>656</v>
      </c>
      <c r="C383" t="s">
        <v>785</v>
      </c>
      <c r="D383" t="s">
        <v>785</v>
      </c>
      <c r="E383" t="s">
        <v>786</v>
      </c>
      <c r="F383" t="s">
        <v>661</v>
      </c>
      <c r="G383" s="5">
        <v>1492886</v>
      </c>
      <c r="H383" s="7" t="s">
        <v>263</v>
      </c>
      <c r="I383" s="5" t="s">
        <v>253</v>
      </c>
      <c r="J383" s="5">
        <v>1</v>
      </c>
      <c r="K383" s="5" t="s">
        <v>102</v>
      </c>
      <c r="L383" s="5" t="s">
        <v>109</v>
      </c>
      <c r="M383" s="5" t="s">
        <v>94</v>
      </c>
      <c r="N383" s="5" t="s">
        <v>261</v>
      </c>
      <c r="O383" s="4"/>
      <c r="P383" s="24">
        <f t="shared" si="90"/>
        <v>12</v>
      </c>
      <c r="Q383" s="8">
        <f t="shared" si="91"/>
        <v>0</v>
      </c>
      <c r="R383" s="8">
        <f t="shared" si="92"/>
        <v>12</v>
      </c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>
        <v>1</v>
      </c>
      <c r="AK383" s="8"/>
      <c r="AL383" s="8"/>
      <c r="AM383" s="8"/>
      <c r="AN383" s="8"/>
      <c r="AO383" s="8"/>
      <c r="AP383" s="8">
        <v>2</v>
      </c>
      <c r="AQ383" s="8"/>
      <c r="AR383" s="8"/>
      <c r="AS383" s="8"/>
      <c r="AT383" s="8"/>
      <c r="AU383" s="8"/>
      <c r="AV383" s="8"/>
      <c r="AW383" s="8"/>
      <c r="AX383" s="8"/>
      <c r="AY383" s="8">
        <v>3</v>
      </c>
      <c r="AZ383" s="8"/>
      <c r="BA383" s="8"/>
      <c r="BB383" s="8"/>
      <c r="BC383" s="8"/>
      <c r="BD383" s="8"/>
      <c r="BE383" s="8"/>
      <c r="BF383" s="8"/>
      <c r="BG383" s="8"/>
      <c r="BH383" s="8">
        <v>1</v>
      </c>
      <c r="BI383" s="8"/>
      <c r="BJ383" s="8">
        <v>1</v>
      </c>
      <c r="BK383" s="8"/>
      <c r="BL383" s="8">
        <v>1</v>
      </c>
      <c r="BM383" s="8"/>
      <c r="BN383" s="8"/>
      <c r="BO383" s="8"/>
      <c r="BP383" s="8"/>
      <c r="BQ383" s="8">
        <v>2</v>
      </c>
      <c r="BR383" s="8"/>
      <c r="BS383" s="8">
        <v>1</v>
      </c>
      <c r="BT383" s="8"/>
      <c r="BU383" s="8"/>
      <c r="BV383" s="8"/>
      <c r="BW383" s="8"/>
      <c r="BX383" s="8"/>
    </row>
    <row r="384" spans="1:76" ht="16.5" customHeight="1" x14ac:dyDescent="0.3">
      <c r="A384" t="s">
        <v>724</v>
      </c>
      <c r="B384" t="s">
        <v>656</v>
      </c>
      <c r="C384" t="s">
        <v>785</v>
      </c>
      <c r="D384" t="s">
        <v>785</v>
      </c>
      <c r="E384" t="s">
        <v>786</v>
      </c>
      <c r="F384" t="s">
        <v>662</v>
      </c>
      <c r="G384" s="5">
        <v>1494530</v>
      </c>
      <c r="H384" s="7" t="s">
        <v>264</v>
      </c>
      <c r="I384" s="5" t="s">
        <v>253</v>
      </c>
      <c r="J384" s="5">
        <v>1</v>
      </c>
      <c r="K384" s="5" t="s">
        <v>102</v>
      </c>
      <c r="L384" s="5" t="s">
        <v>109</v>
      </c>
      <c r="M384" s="5" t="s">
        <v>94</v>
      </c>
      <c r="N384" s="5" t="s">
        <v>261</v>
      </c>
      <c r="O384" s="4"/>
      <c r="P384" s="24">
        <f t="shared" si="90"/>
        <v>12</v>
      </c>
      <c r="Q384" s="8">
        <f t="shared" si="91"/>
        <v>0</v>
      </c>
      <c r="R384" s="8">
        <f t="shared" si="92"/>
        <v>12</v>
      </c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>
        <v>1</v>
      </c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>
        <v>1</v>
      </c>
      <c r="AX384" s="8"/>
      <c r="AY384" s="8">
        <v>3</v>
      </c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>
        <v>2</v>
      </c>
      <c r="BK384" s="8"/>
      <c r="BL384" s="8">
        <v>1</v>
      </c>
      <c r="BM384" s="8"/>
      <c r="BN384" s="8"/>
      <c r="BO384" s="8">
        <v>1</v>
      </c>
      <c r="BP384" s="8"/>
      <c r="BQ384" s="8">
        <v>1</v>
      </c>
      <c r="BR384" s="8"/>
      <c r="BS384" s="8">
        <v>1</v>
      </c>
      <c r="BT384" s="8">
        <v>1</v>
      </c>
      <c r="BU384" s="8"/>
      <c r="BV384" s="8"/>
      <c r="BW384" s="8"/>
      <c r="BX384" s="8"/>
    </row>
    <row r="385" spans="1:76" ht="16.5" customHeight="1" x14ac:dyDescent="0.3">
      <c r="A385" t="s">
        <v>724</v>
      </c>
      <c r="B385" t="s">
        <v>656</v>
      </c>
      <c r="C385" t="s">
        <v>785</v>
      </c>
      <c r="D385" t="s">
        <v>785</v>
      </c>
      <c r="E385" t="s">
        <v>786</v>
      </c>
      <c r="F385" t="s">
        <v>663</v>
      </c>
      <c r="G385" s="5">
        <v>1494531</v>
      </c>
      <c r="H385" s="7" t="s">
        <v>265</v>
      </c>
      <c r="I385" s="5" t="s">
        <v>253</v>
      </c>
      <c r="J385" s="5">
        <v>1</v>
      </c>
      <c r="K385" s="5" t="s">
        <v>102</v>
      </c>
      <c r="L385" s="5" t="s">
        <v>109</v>
      </c>
      <c r="M385" s="5" t="s">
        <v>94</v>
      </c>
      <c r="N385" s="5" t="s">
        <v>261</v>
      </c>
      <c r="O385" s="4"/>
      <c r="P385" s="24">
        <f t="shared" si="90"/>
        <v>9</v>
      </c>
      <c r="Q385" s="8">
        <f t="shared" si="91"/>
        <v>0</v>
      </c>
      <c r="R385" s="8">
        <f t="shared" si="92"/>
        <v>9</v>
      </c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>
        <v>1</v>
      </c>
      <c r="AK385" s="8"/>
      <c r="AL385" s="8"/>
      <c r="AM385" s="8"/>
      <c r="AN385" s="8"/>
      <c r="AO385" s="8"/>
      <c r="AP385" s="8">
        <v>2</v>
      </c>
      <c r="AQ385" s="8"/>
      <c r="AR385" s="8"/>
      <c r="AS385" s="8"/>
      <c r="AT385" s="8"/>
      <c r="AU385" s="8"/>
      <c r="AV385" s="8"/>
      <c r="AW385" s="8">
        <v>1</v>
      </c>
      <c r="AX385" s="8"/>
      <c r="AY385" s="8">
        <v>1</v>
      </c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>
        <v>1</v>
      </c>
      <c r="BK385" s="8"/>
      <c r="BL385" s="8">
        <v>1</v>
      </c>
      <c r="BM385" s="8"/>
      <c r="BN385" s="8"/>
      <c r="BO385" s="8"/>
      <c r="BP385" s="8"/>
      <c r="BQ385" s="8"/>
      <c r="BR385" s="8"/>
      <c r="BS385" s="8">
        <v>2</v>
      </c>
      <c r="BT385" s="8"/>
      <c r="BU385" s="8"/>
      <c r="BV385" s="8"/>
      <c r="BW385" s="8"/>
      <c r="BX385" s="8"/>
    </row>
    <row r="386" spans="1:76" ht="16.5" customHeight="1" x14ac:dyDescent="0.3">
      <c r="A386" t="s">
        <v>724</v>
      </c>
      <c r="B386" t="s">
        <v>656</v>
      </c>
      <c r="C386" t="s">
        <v>785</v>
      </c>
      <c r="D386" t="s">
        <v>785</v>
      </c>
      <c r="E386" t="s">
        <v>787</v>
      </c>
      <c r="F386" t="s">
        <v>787</v>
      </c>
      <c r="G386" s="5">
        <v>1494794</v>
      </c>
      <c r="H386" s="7" t="s">
        <v>423</v>
      </c>
      <c r="I386" s="5" t="s">
        <v>253</v>
      </c>
      <c r="J386" s="5">
        <v>1</v>
      </c>
      <c r="K386" s="5" t="s">
        <v>102</v>
      </c>
      <c r="L386" s="5" t="s">
        <v>109</v>
      </c>
      <c r="M386" s="5" t="s">
        <v>94</v>
      </c>
      <c r="N386" s="5" t="s">
        <v>258</v>
      </c>
      <c r="O386" s="4"/>
      <c r="P386" s="24">
        <f t="shared" si="90"/>
        <v>19</v>
      </c>
      <c r="Q386" s="8">
        <f t="shared" si="91"/>
        <v>0</v>
      </c>
      <c r="R386" s="8">
        <f t="shared" si="92"/>
        <v>19</v>
      </c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>
        <v>1</v>
      </c>
      <c r="AK386" s="8"/>
      <c r="AL386" s="8"/>
      <c r="AM386" s="8"/>
      <c r="AN386" s="8"/>
      <c r="AO386" s="8"/>
      <c r="AP386" s="8">
        <v>1</v>
      </c>
      <c r="AQ386" s="8"/>
      <c r="AR386" s="8"/>
      <c r="AS386" s="8"/>
      <c r="AT386" s="8"/>
      <c r="AU386" s="8"/>
      <c r="AV386" s="8"/>
      <c r="AW386" s="8"/>
      <c r="AX386" s="8"/>
      <c r="AY386" s="8">
        <v>3</v>
      </c>
      <c r="AZ386" s="8"/>
      <c r="BA386" s="8"/>
      <c r="BB386" s="8"/>
      <c r="BC386" s="8">
        <v>1</v>
      </c>
      <c r="BD386" s="8"/>
      <c r="BE386" s="8"/>
      <c r="BF386" s="8"/>
      <c r="BG386" s="8"/>
      <c r="BH386" s="8"/>
      <c r="BI386" s="8"/>
      <c r="BJ386" s="8">
        <v>5</v>
      </c>
      <c r="BK386" s="8"/>
      <c r="BL386" s="8">
        <v>1</v>
      </c>
      <c r="BM386" s="8"/>
      <c r="BN386" s="8"/>
      <c r="BO386" s="8"/>
      <c r="BP386" s="8"/>
      <c r="BQ386" s="8">
        <v>4</v>
      </c>
      <c r="BR386" s="8"/>
      <c r="BS386" s="8">
        <v>3</v>
      </c>
      <c r="BT386" s="8"/>
      <c r="BU386" s="8"/>
      <c r="BV386" s="8"/>
      <c r="BW386" s="8"/>
      <c r="BX386" s="8"/>
    </row>
    <row r="387" spans="1:76" ht="16.5" customHeight="1" x14ac:dyDescent="0.3">
      <c r="A387" t="s">
        <v>724</v>
      </c>
      <c r="B387" t="s">
        <v>656</v>
      </c>
      <c r="C387" t="s">
        <v>785</v>
      </c>
      <c r="D387" t="s">
        <v>785</v>
      </c>
      <c r="E387" t="s">
        <v>788</v>
      </c>
      <c r="F387" t="s">
        <v>788</v>
      </c>
      <c r="G387" s="5">
        <v>1494884</v>
      </c>
      <c r="H387" s="7" t="s">
        <v>424</v>
      </c>
      <c r="I387" s="5" t="s">
        <v>253</v>
      </c>
      <c r="J387" s="5">
        <v>1</v>
      </c>
      <c r="K387" s="5" t="s">
        <v>102</v>
      </c>
      <c r="L387" s="5" t="s">
        <v>109</v>
      </c>
      <c r="M387" s="5" t="s">
        <v>94</v>
      </c>
      <c r="N387" s="5" t="s">
        <v>258</v>
      </c>
      <c r="O387" s="4"/>
      <c r="P387" s="24">
        <f t="shared" si="90"/>
        <v>15</v>
      </c>
      <c r="Q387" s="8">
        <f t="shared" si="91"/>
        <v>0</v>
      </c>
      <c r="R387" s="8">
        <f t="shared" si="92"/>
        <v>15</v>
      </c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>
        <v>1</v>
      </c>
      <c r="AJ387" s="8"/>
      <c r="AK387" s="8"/>
      <c r="AL387" s="8"/>
      <c r="AM387" s="8"/>
      <c r="AN387" s="8"/>
      <c r="AO387" s="8"/>
      <c r="AP387" s="8">
        <v>1</v>
      </c>
      <c r="AQ387" s="8"/>
      <c r="AR387" s="8"/>
      <c r="AS387" s="8"/>
      <c r="AT387" s="8"/>
      <c r="AU387" s="8"/>
      <c r="AV387" s="8"/>
      <c r="AW387" s="8"/>
      <c r="AX387" s="8"/>
      <c r="AY387" s="8">
        <v>3</v>
      </c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>
        <v>4</v>
      </c>
      <c r="BK387" s="8"/>
      <c r="BL387" s="8">
        <v>1</v>
      </c>
      <c r="BM387" s="8"/>
      <c r="BN387" s="8"/>
      <c r="BO387" s="8"/>
      <c r="BP387" s="8"/>
      <c r="BQ387" s="8">
        <v>4</v>
      </c>
      <c r="BR387" s="8"/>
      <c r="BS387" s="8">
        <v>1</v>
      </c>
      <c r="BT387" s="8"/>
      <c r="BU387" s="8"/>
      <c r="BV387" s="8"/>
      <c r="BW387" s="8"/>
      <c r="BX387" s="8"/>
    </row>
    <row r="388" spans="1:76" ht="16.5" customHeight="1" x14ac:dyDescent="0.3">
      <c r="A388" t="s">
        <v>724</v>
      </c>
      <c r="B388" t="s">
        <v>656</v>
      </c>
      <c r="C388" t="s">
        <v>785</v>
      </c>
      <c r="D388" t="s">
        <v>785</v>
      </c>
      <c r="E388" t="s">
        <v>789</v>
      </c>
      <c r="F388" t="s">
        <v>789</v>
      </c>
      <c r="G388" s="5">
        <v>1494526</v>
      </c>
      <c r="H388" s="7" t="s">
        <v>425</v>
      </c>
      <c r="I388" s="5" t="s">
        <v>253</v>
      </c>
      <c r="J388" s="5">
        <v>1</v>
      </c>
      <c r="K388" s="5" t="s">
        <v>102</v>
      </c>
      <c r="L388" s="5" t="s">
        <v>109</v>
      </c>
      <c r="M388" s="5" t="s">
        <v>94</v>
      </c>
      <c r="N388" s="5" t="s">
        <v>258</v>
      </c>
      <c r="O388" s="4"/>
      <c r="P388" s="24">
        <f t="shared" si="90"/>
        <v>17</v>
      </c>
      <c r="Q388" s="8">
        <f t="shared" si="91"/>
        <v>0</v>
      </c>
      <c r="R388" s="8">
        <f t="shared" si="92"/>
        <v>17</v>
      </c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>
        <v>1</v>
      </c>
      <c r="AK388" s="8"/>
      <c r="AL388" s="8"/>
      <c r="AM388" s="8"/>
      <c r="AN388" s="8"/>
      <c r="AO388" s="8"/>
      <c r="AP388" s="8">
        <v>1</v>
      </c>
      <c r="AQ388" s="8"/>
      <c r="AR388" s="8"/>
      <c r="AS388" s="8"/>
      <c r="AT388" s="8"/>
      <c r="AU388" s="8"/>
      <c r="AV388" s="8"/>
      <c r="AW388" s="8"/>
      <c r="AX388" s="8"/>
      <c r="AY388" s="8">
        <v>4</v>
      </c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>
        <v>4</v>
      </c>
      <c r="BK388" s="8"/>
      <c r="BL388" s="8">
        <v>1</v>
      </c>
      <c r="BM388" s="8"/>
      <c r="BN388" s="8"/>
      <c r="BO388" s="8"/>
      <c r="BP388" s="8"/>
      <c r="BQ388" s="8">
        <v>5</v>
      </c>
      <c r="BR388" s="8"/>
      <c r="BS388" s="8">
        <v>1</v>
      </c>
      <c r="BT388" s="8"/>
      <c r="BU388" s="8"/>
      <c r="BV388" s="8"/>
      <c r="BW388" s="8"/>
      <c r="BX388" s="8"/>
    </row>
    <row r="389" spans="1:76" ht="16.5" customHeight="1" x14ac:dyDescent="0.3">
      <c r="A389" t="s">
        <v>724</v>
      </c>
      <c r="B389" t="s">
        <v>656</v>
      </c>
      <c r="C389" t="s">
        <v>785</v>
      </c>
      <c r="D389" t="s">
        <v>785</v>
      </c>
      <c r="E389" t="s">
        <v>665</v>
      </c>
      <c r="F389" t="s">
        <v>727</v>
      </c>
      <c r="G389" s="5">
        <v>1494790</v>
      </c>
      <c r="H389" s="7" t="s">
        <v>267</v>
      </c>
      <c r="I389" s="5" t="s">
        <v>253</v>
      </c>
      <c r="J389" s="5">
        <v>1</v>
      </c>
      <c r="K389" s="5" t="s">
        <v>102</v>
      </c>
      <c r="L389" s="5" t="s">
        <v>109</v>
      </c>
      <c r="M389" s="5" t="s">
        <v>94</v>
      </c>
      <c r="N389" s="5" t="s">
        <v>268</v>
      </c>
      <c r="O389" s="4"/>
      <c r="P389" s="24">
        <f t="shared" si="90"/>
        <v>14</v>
      </c>
      <c r="Q389" s="8">
        <f t="shared" si="91"/>
        <v>0</v>
      </c>
      <c r="R389" s="8">
        <f t="shared" si="92"/>
        <v>14</v>
      </c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>
        <v>1</v>
      </c>
      <c r="AJ389" s="8"/>
      <c r="AK389" s="8"/>
      <c r="AL389" s="8"/>
      <c r="AM389" s="8"/>
      <c r="AN389" s="8"/>
      <c r="AO389" s="8">
        <v>1</v>
      </c>
      <c r="AP389" s="8"/>
      <c r="AQ389" s="8"/>
      <c r="AR389" s="8"/>
      <c r="AS389" s="8"/>
      <c r="AT389" s="8"/>
      <c r="AU389" s="8"/>
      <c r="AV389" s="8"/>
      <c r="AW389" s="8"/>
      <c r="AX389" s="8"/>
      <c r="AY389" s="8">
        <v>1</v>
      </c>
      <c r="AZ389" s="8"/>
      <c r="BA389" s="8"/>
      <c r="BB389" s="8"/>
      <c r="BC389" s="8"/>
      <c r="BD389" s="8"/>
      <c r="BE389" s="8"/>
      <c r="BF389" s="8"/>
      <c r="BG389" s="8"/>
      <c r="BH389" s="8"/>
      <c r="BI389" s="8">
        <v>3</v>
      </c>
      <c r="BJ389" s="8"/>
      <c r="BK389" s="8"/>
      <c r="BL389" s="8">
        <v>1</v>
      </c>
      <c r="BM389" s="8"/>
      <c r="BN389" s="8"/>
      <c r="BO389" s="8"/>
      <c r="BP389" s="8">
        <v>2</v>
      </c>
      <c r="BQ389" s="8">
        <v>3</v>
      </c>
      <c r="BR389" s="8"/>
      <c r="BS389" s="8">
        <v>1</v>
      </c>
      <c r="BT389" s="8">
        <v>1</v>
      </c>
      <c r="BU389" s="8"/>
      <c r="BV389" s="8"/>
      <c r="BW389" s="8"/>
      <c r="BX389" s="8"/>
    </row>
    <row r="390" spans="1:76" ht="16.5" customHeight="1" x14ac:dyDescent="0.3">
      <c r="A390" t="s">
        <v>724</v>
      </c>
      <c r="B390" t="s">
        <v>656</v>
      </c>
      <c r="C390" t="s">
        <v>785</v>
      </c>
      <c r="D390" t="s">
        <v>785</v>
      </c>
      <c r="E390" t="s">
        <v>728</v>
      </c>
      <c r="F390" t="s">
        <v>728</v>
      </c>
      <c r="G390" s="5">
        <v>1494791</v>
      </c>
      <c r="H390" s="7" t="s">
        <v>269</v>
      </c>
      <c r="I390" s="5" t="s">
        <v>253</v>
      </c>
      <c r="J390" s="5">
        <v>1</v>
      </c>
      <c r="K390" s="5" t="s">
        <v>102</v>
      </c>
      <c r="L390" s="5" t="s">
        <v>109</v>
      </c>
      <c r="M390" s="5" t="s">
        <v>94</v>
      </c>
      <c r="N390" s="5" t="s">
        <v>268</v>
      </c>
      <c r="O390" s="4"/>
      <c r="P390" s="24">
        <f t="shared" si="90"/>
        <v>18</v>
      </c>
      <c r="Q390" s="8">
        <f t="shared" si="91"/>
        <v>0</v>
      </c>
      <c r="R390" s="8">
        <f t="shared" si="92"/>
        <v>18</v>
      </c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>
        <v>1</v>
      </c>
      <c r="AK390" s="8"/>
      <c r="AL390" s="8"/>
      <c r="AM390" s="8"/>
      <c r="AN390" s="8">
        <v>1</v>
      </c>
      <c r="AO390" s="8"/>
      <c r="AP390" s="8"/>
      <c r="AQ390" s="8"/>
      <c r="AR390" s="8"/>
      <c r="AS390" s="8"/>
      <c r="AT390" s="8">
        <v>1</v>
      </c>
      <c r="AU390" s="8"/>
      <c r="AV390" s="8"/>
      <c r="AW390" s="8"/>
      <c r="AX390" s="8"/>
      <c r="AY390" s="8">
        <v>2</v>
      </c>
      <c r="AZ390" s="8"/>
      <c r="BA390" s="8"/>
      <c r="BB390" s="8"/>
      <c r="BC390" s="8"/>
      <c r="BD390" s="8"/>
      <c r="BE390" s="8"/>
      <c r="BF390" s="8">
        <v>1</v>
      </c>
      <c r="BG390" s="8"/>
      <c r="BH390" s="8">
        <v>1</v>
      </c>
      <c r="BI390" s="8"/>
      <c r="BJ390" s="8"/>
      <c r="BK390" s="8">
        <v>1</v>
      </c>
      <c r="BL390" s="8">
        <v>1</v>
      </c>
      <c r="BM390" s="8"/>
      <c r="BN390" s="8"/>
      <c r="BO390" s="8">
        <v>1</v>
      </c>
      <c r="BP390" s="8"/>
      <c r="BQ390" s="8">
        <v>4</v>
      </c>
      <c r="BR390" s="8"/>
      <c r="BS390" s="8">
        <v>1</v>
      </c>
      <c r="BT390" s="8"/>
      <c r="BU390" s="8">
        <v>1</v>
      </c>
      <c r="BV390" s="8">
        <v>1</v>
      </c>
      <c r="BW390" s="8">
        <v>1</v>
      </c>
      <c r="BX390" s="8"/>
    </row>
    <row r="391" spans="1:76" ht="16.5" customHeight="1" x14ac:dyDescent="0.3">
      <c r="A391" t="s">
        <v>724</v>
      </c>
      <c r="B391" t="s">
        <v>656</v>
      </c>
      <c r="C391" t="s">
        <v>785</v>
      </c>
      <c r="D391" t="s">
        <v>785</v>
      </c>
      <c r="E391" t="s">
        <v>729</v>
      </c>
      <c r="F391" t="s">
        <v>729</v>
      </c>
      <c r="G391" s="5">
        <v>1494792</v>
      </c>
      <c r="H391" s="7" t="s">
        <v>270</v>
      </c>
      <c r="I391" s="5" t="s">
        <v>253</v>
      </c>
      <c r="J391" s="5">
        <v>1</v>
      </c>
      <c r="K391" s="5" t="s">
        <v>102</v>
      </c>
      <c r="L391" s="5" t="s">
        <v>109</v>
      </c>
      <c r="M391" s="5" t="s">
        <v>94</v>
      </c>
      <c r="N391" s="5" t="s">
        <v>268</v>
      </c>
      <c r="O391" s="4"/>
      <c r="P391" s="24">
        <f t="shared" si="90"/>
        <v>10</v>
      </c>
      <c r="Q391" s="8">
        <f t="shared" si="91"/>
        <v>0</v>
      </c>
      <c r="R391" s="8">
        <f t="shared" si="92"/>
        <v>10</v>
      </c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>
        <v>1</v>
      </c>
      <c r="AK391" s="8"/>
      <c r="AL391" s="8"/>
      <c r="AM391" s="8"/>
      <c r="AN391" s="8">
        <v>1</v>
      </c>
      <c r="AO391" s="8"/>
      <c r="AP391" s="8"/>
      <c r="AQ391" s="8"/>
      <c r="AR391" s="8"/>
      <c r="AS391" s="8"/>
      <c r="AT391" s="8"/>
      <c r="AU391" s="8"/>
      <c r="AV391" s="8"/>
      <c r="AW391" s="8">
        <v>1</v>
      </c>
      <c r="AX391" s="8"/>
      <c r="AY391" s="8">
        <v>4</v>
      </c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>
        <v>2</v>
      </c>
      <c r="BK391" s="8"/>
      <c r="BL391" s="8">
        <v>1</v>
      </c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</row>
    <row r="392" spans="1:76" ht="16.5" customHeight="1" x14ac:dyDescent="0.3">
      <c r="A392" t="s">
        <v>724</v>
      </c>
      <c r="B392" t="s">
        <v>656</v>
      </c>
      <c r="C392" t="s">
        <v>785</v>
      </c>
      <c r="D392" t="s">
        <v>785</v>
      </c>
      <c r="E392" t="s">
        <v>730</v>
      </c>
      <c r="F392" t="s">
        <v>730</v>
      </c>
      <c r="G392" s="5">
        <v>1494898</v>
      </c>
      <c r="H392" s="7" t="s">
        <v>271</v>
      </c>
      <c r="I392" s="5" t="s">
        <v>253</v>
      </c>
      <c r="J392" s="5">
        <v>1</v>
      </c>
      <c r="K392" s="5" t="s">
        <v>102</v>
      </c>
      <c r="L392" s="5" t="s">
        <v>109</v>
      </c>
      <c r="M392" s="5" t="s">
        <v>94</v>
      </c>
      <c r="N392" s="5" t="s">
        <v>268</v>
      </c>
      <c r="O392" s="4"/>
      <c r="P392" s="24">
        <f t="shared" si="90"/>
        <v>17</v>
      </c>
      <c r="Q392" s="8">
        <f t="shared" si="91"/>
        <v>0</v>
      </c>
      <c r="R392" s="8">
        <f t="shared" si="92"/>
        <v>17</v>
      </c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>
        <v>1</v>
      </c>
      <c r="AH392" s="8"/>
      <c r="AI392" s="8"/>
      <c r="AJ392" s="8"/>
      <c r="AK392" s="8"/>
      <c r="AL392" s="8"/>
      <c r="AM392" s="8"/>
      <c r="AN392" s="8">
        <v>6</v>
      </c>
      <c r="AO392" s="8"/>
      <c r="AP392" s="8"/>
      <c r="AQ392" s="8"/>
      <c r="AR392" s="8"/>
      <c r="AS392" s="8"/>
      <c r="AT392" s="8"/>
      <c r="AU392" s="8"/>
      <c r="AV392" s="8"/>
      <c r="AW392" s="8">
        <v>7</v>
      </c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>
        <v>2</v>
      </c>
      <c r="BI392" s="8"/>
      <c r="BJ392" s="8"/>
      <c r="BK392" s="8"/>
      <c r="BL392" s="8"/>
      <c r="BM392" s="8"/>
      <c r="BN392" s="8"/>
      <c r="BO392" s="8">
        <v>1</v>
      </c>
      <c r="BP392" s="8"/>
      <c r="BQ392" s="8"/>
      <c r="BR392" s="8"/>
      <c r="BS392" s="8"/>
      <c r="BT392" s="8"/>
      <c r="BU392" s="8"/>
      <c r="BV392" s="8"/>
      <c r="BW392" s="8"/>
      <c r="BX392" s="8"/>
    </row>
    <row r="393" spans="1:76" ht="16.5" customHeight="1" x14ac:dyDescent="0.3">
      <c r="A393" t="s">
        <v>724</v>
      </c>
      <c r="B393" t="s">
        <v>656</v>
      </c>
      <c r="C393" t="s">
        <v>785</v>
      </c>
      <c r="D393" t="s">
        <v>785</v>
      </c>
      <c r="E393" t="s">
        <v>670</v>
      </c>
      <c r="F393" t="s">
        <v>670</v>
      </c>
      <c r="G393" s="5">
        <v>1495000</v>
      </c>
      <c r="H393" s="7" t="s">
        <v>273</v>
      </c>
      <c r="I393" s="5" t="s">
        <v>253</v>
      </c>
      <c r="J393" s="5">
        <v>1</v>
      </c>
      <c r="K393" s="5" t="s">
        <v>102</v>
      </c>
      <c r="L393" s="5" t="s">
        <v>109</v>
      </c>
      <c r="M393" s="5" t="s">
        <v>94</v>
      </c>
      <c r="N393" s="5" t="s">
        <v>268</v>
      </c>
      <c r="O393" s="4"/>
      <c r="P393" s="24">
        <f t="shared" si="90"/>
        <v>19</v>
      </c>
      <c r="Q393" s="8">
        <f t="shared" si="91"/>
        <v>0</v>
      </c>
      <c r="R393" s="8">
        <f t="shared" si="92"/>
        <v>19</v>
      </c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>
        <v>1</v>
      </c>
      <c r="AJ393" s="8"/>
      <c r="AK393" s="8"/>
      <c r="AL393" s="8"/>
      <c r="AM393" s="8"/>
      <c r="AN393" s="8">
        <v>7</v>
      </c>
      <c r="AO393" s="8"/>
      <c r="AP393" s="8"/>
      <c r="AQ393" s="8"/>
      <c r="AR393" s="8"/>
      <c r="AS393" s="8"/>
      <c r="AT393" s="8"/>
      <c r="AU393" s="8"/>
      <c r="AV393" s="8"/>
      <c r="AW393" s="8">
        <v>8</v>
      </c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>
        <v>2</v>
      </c>
      <c r="BI393" s="8"/>
      <c r="BJ393" s="8"/>
      <c r="BK393" s="8"/>
      <c r="BL393" s="8"/>
      <c r="BM393" s="8"/>
      <c r="BN393" s="8"/>
      <c r="BO393" s="8">
        <v>1</v>
      </c>
      <c r="BP393" s="8"/>
      <c r="BQ393" s="8"/>
      <c r="BR393" s="8"/>
      <c r="BS393" s="8"/>
      <c r="BT393" s="8"/>
      <c r="BU393" s="8"/>
      <c r="BV393" s="8"/>
      <c r="BW393" s="8"/>
      <c r="BX393" s="8"/>
    </row>
    <row r="394" spans="1:76" ht="16.5" customHeight="1" x14ac:dyDescent="0.3">
      <c r="A394" t="s">
        <v>724</v>
      </c>
      <c r="B394" t="s">
        <v>656</v>
      </c>
      <c r="C394" t="s">
        <v>785</v>
      </c>
      <c r="D394" t="s">
        <v>785</v>
      </c>
      <c r="E394" t="s">
        <v>731</v>
      </c>
      <c r="F394" t="s">
        <v>731</v>
      </c>
      <c r="G394" s="5">
        <v>1495007</v>
      </c>
      <c r="H394" s="7" t="s">
        <v>274</v>
      </c>
      <c r="I394" s="5" t="s">
        <v>253</v>
      </c>
      <c r="J394" s="5">
        <v>1</v>
      </c>
      <c r="K394" s="5" t="s">
        <v>102</v>
      </c>
      <c r="L394" s="5" t="s">
        <v>109</v>
      </c>
      <c r="M394" s="5" t="s">
        <v>94</v>
      </c>
      <c r="N394" s="5" t="s">
        <v>268</v>
      </c>
      <c r="O394" s="4"/>
      <c r="P394" s="24">
        <f t="shared" si="90"/>
        <v>19</v>
      </c>
      <c r="Q394" s="8">
        <f t="shared" si="91"/>
        <v>0</v>
      </c>
      <c r="R394" s="8">
        <f t="shared" si="92"/>
        <v>19</v>
      </c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>
        <v>1</v>
      </c>
      <c r="AJ394" s="8"/>
      <c r="AK394" s="8"/>
      <c r="AL394" s="8"/>
      <c r="AM394" s="8"/>
      <c r="AN394" s="8">
        <v>7</v>
      </c>
      <c r="AO394" s="8"/>
      <c r="AP394" s="8"/>
      <c r="AQ394" s="8"/>
      <c r="AR394" s="8"/>
      <c r="AS394" s="8"/>
      <c r="AT394" s="8"/>
      <c r="AU394" s="8"/>
      <c r="AV394" s="8"/>
      <c r="AW394" s="8">
        <v>8</v>
      </c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>
        <v>2</v>
      </c>
      <c r="BI394" s="8"/>
      <c r="BJ394" s="8"/>
      <c r="BK394" s="8"/>
      <c r="BL394" s="8"/>
      <c r="BM394" s="8"/>
      <c r="BN394" s="8"/>
      <c r="BO394" s="8">
        <v>1</v>
      </c>
      <c r="BP394" s="8"/>
      <c r="BQ394" s="8"/>
      <c r="BR394" s="8"/>
      <c r="BS394" s="8"/>
      <c r="BT394" s="8"/>
      <c r="BU394" s="8"/>
      <c r="BV394" s="8"/>
      <c r="BW394" s="8"/>
      <c r="BX394" s="8"/>
    </row>
    <row r="395" spans="1:76" ht="16.5" customHeight="1" x14ac:dyDescent="0.3">
      <c r="A395" t="s">
        <v>724</v>
      </c>
      <c r="B395" t="s">
        <v>656</v>
      </c>
      <c r="C395" t="s">
        <v>785</v>
      </c>
      <c r="D395" t="s">
        <v>785</v>
      </c>
      <c r="E395" t="s">
        <v>732</v>
      </c>
      <c r="F395" t="s">
        <v>732</v>
      </c>
      <c r="G395" s="5">
        <v>1495014</v>
      </c>
      <c r="H395" s="7" t="s">
        <v>276</v>
      </c>
      <c r="I395" s="5" t="s">
        <v>253</v>
      </c>
      <c r="J395" s="5">
        <v>1</v>
      </c>
      <c r="K395" s="5" t="s">
        <v>102</v>
      </c>
      <c r="L395" s="5" t="s">
        <v>109</v>
      </c>
      <c r="M395" s="5" t="s">
        <v>94</v>
      </c>
      <c r="N395" s="5" t="s">
        <v>268</v>
      </c>
      <c r="O395" s="4"/>
      <c r="P395" s="24">
        <f t="shared" si="90"/>
        <v>20</v>
      </c>
      <c r="Q395" s="8">
        <f t="shared" si="91"/>
        <v>0</v>
      </c>
      <c r="R395" s="8">
        <f t="shared" si="92"/>
        <v>20</v>
      </c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>
        <v>1</v>
      </c>
      <c r="AJ395" s="8"/>
      <c r="AK395" s="8"/>
      <c r="AL395" s="8"/>
      <c r="AM395" s="8"/>
      <c r="AN395" s="8">
        <v>6</v>
      </c>
      <c r="AO395" s="8"/>
      <c r="AP395" s="8"/>
      <c r="AQ395" s="8">
        <v>1</v>
      </c>
      <c r="AR395" s="8"/>
      <c r="AS395" s="8"/>
      <c r="AT395" s="8"/>
      <c r="AU395" s="8"/>
      <c r="AV395" s="8"/>
      <c r="AW395" s="8">
        <v>6</v>
      </c>
      <c r="AX395" s="8"/>
      <c r="AY395" s="8"/>
      <c r="AZ395" s="8">
        <v>2</v>
      </c>
      <c r="BA395" s="8"/>
      <c r="BB395" s="8"/>
      <c r="BC395" s="8"/>
      <c r="BD395" s="8"/>
      <c r="BE395" s="8"/>
      <c r="BF395" s="8"/>
      <c r="BG395" s="8"/>
      <c r="BH395" s="8">
        <v>3</v>
      </c>
      <c r="BI395" s="8"/>
      <c r="BJ395" s="8"/>
      <c r="BK395" s="8"/>
      <c r="BL395" s="8"/>
      <c r="BM395" s="8"/>
      <c r="BN395" s="8"/>
      <c r="BO395" s="8">
        <v>1</v>
      </c>
      <c r="BP395" s="8"/>
      <c r="BQ395" s="8"/>
      <c r="BR395" s="8"/>
      <c r="BS395" s="8"/>
      <c r="BT395" s="8"/>
      <c r="BU395" s="8"/>
      <c r="BV395" s="8"/>
      <c r="BW395" s="8"/>
      <c r="BX395" s="8"/>
    </row>
    <row r="396" spans="1:76" ht="16.5" customHeight="1" x14ac:dyDescent="0.3">
      <c r="A396" t="s">
        <v>724</v>
      </c>
      <c r="B396" t="s">
        <v>656</v>
      </c>
      <c r="C396" t="s">
        <v>785</v>
      </c>
      <c r="D396" t="s">
        <v>785</v>
      </c>
      <c r="E396" t="s">
        <v>733</v>
      </c>
      <c r="F396" t="s">
        <v>733</v>
      </c>
      <c r="G396" s="5">
        <v>1495021</v>
      </c>
      <c r="H396" s="7" t="s">
        <v>277</v>
      </c>
      <c r="I396" s="5" t="s">
        <v>253</v>
      </c>
      <c r="J396" s="5">
        <v>1</v>
      </c>
      <c r="K396" s="5" t="s">
        <v>102</v>
      </c>
      <c r="L396" s="5" t="s">
        <v>109</v>
      </c>
      <c r="M396" s="5" t="s">
        <v>94</v>
      </c>
      <c r="N396" s="5" t="s">
        <v>268</v>
      </c>
      <c r="O396" s="4"/>
      <c r="P396" s="24">
        <f t="shared" si="90"/>
        <v>21</v>
      </c>
      <c r="Q396" s="8">
        <f t="shared" si="91"/>
        <v>0</v>
      </c>
      <c r="R396" s="8">
        <f t="shared" si="92"/>
        <v>21</v>
      </c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>
        <v>1</v>
      </c>
      <c r="AH396" s="8"/>
      <c r="AI396" s="8"/>
      <c r="AJ396" s="8"/>
      <c r="AK396" s="8">
        <v>1</v>
      </c>
      <c r="AL396" s="8"/>
      <c r="AM396" s="8"/>
      <c r="AN396" s="8">
        <v>1</v>
      </c>
      <c r="AO396" s="8"/>
      <c r="AP396" s="8"/>
      <c r="AQ396" s="8">
        <v>6</v>
      </c>
      <c r="AR396" s="8"/>
      <c r="AS396" s="8"/>
      <c r="AT396" s="8"/>
      <c r="AU396" s="8"/>
      <c r="AV396" s="8"/>
      <c r="AW396" s="8"/>
      <c r="AX396" s="8"/>
      <c r="AY396" s="8"/>
      <c r="AZ396" s="8">
        <v>8</v>
      </c>
      <c r="BA396" s="8"/>
      <c r="BB396" s="8"/>
      <c r="BC396" s="8"/>
      <c r="BD396" s="8">
        <v>2</v>
      </c>
      <c r="BE396" s="8">
        <v>1</v>
      </c>
      <c r="BF396" s="8"/>
      <c r="BG396" s="8"/>
      <c r="BH396" s="8">
        <v>1</v>
      </c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</row>
    <row r="397" spans="1:76" ht="16.5" customHeight="1" x14ac:dyDescent="0.3">
      <c r="A397" t="s">
        <v>724</v>
      </c>
      <c r="B397" t="s">
        <v>656</v>
      </c>
      <c r="C397" t="s">
        <v>785</v>
      </c>
      <c r="D397" t="s">
        <v>785</v>
      </c>
      <c r="E397" t="s">
        <v>734</v>
      </c>
      <c r="F397" t="s">
        <v>734</v>
      </c>
      <c r="G397" s="5">
        <v>1495028</v>
      </c>
      <c r="H397" s="7" t="s">
        <v>278</v>
      </c>
      <c r="I397" s="5" t="s">
        <v>253</v>
      </c>
      <c r="J397" s="5">
        <v>1</v>
      </c>
      <c r="K397" s="5" t="s">
        <v>102</v>
      </c>
      <c r="L397" s="5" t="s">
        <v>109</v>
      </c>
      <c r="M397" s="5" t="s">
        <v>94</v>
      </c>
      <c r="N397" s="5" t="s">
        <v>268</v>
      </c>
      <c r="O397" s="4"/>
      <c r="P397" s="24">
        <f t="shared" si="90"/>
        <v>10</v>
      </c>
      <c r="Q397" s="8">
        <f t="shared" si="91"/>
        <v>0</v>
      </c>
      <c r="R397" s="8">
        <f t="shared" si="92"/>
        <v>10</v>
      </c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>
        <v>1</v>
      </c>
      <c r="AJ397" s="8"/>
      <c r="AK397" s="8"/>
      <c r="AL397" s="8"/>
      <c r="AM397" s="8"/>
      <c r="AN397" s="8"/>
      <c r="AO397" s="8"/>
      <c r="AP397" s="8"/>
      <c r="AQ397" s="8">
        <v>3</v>
      </c>
      <c r="AR397" s="8"/>
      <c r="AS397" s="8"/>
      <c r="AT397" s="8"/>
      <c r="AU397" s="8">
        <v>1</v>
      </c>
      <c r="AV397" s="8"/>
      <c r="AW397" s="8"/>
      <c r="AX397" s="8"/>
      <c r="AY397" s="8"/>
      <c r="AZ397" s="8">
        <v>4</v>
      </c>
      <c r="BA397" s="8"/>
      <c r="BB397" s="8"/>
      <c r="BC397" s="8"/>
      <c r="BD397" s="8">
        <v>1</v>
      </c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</row>
    <row r="398" spans="1:76" ht="16.5" customHeight="1" x14ac:dyDescent="0.3">
      <c r="A398" t="s">
        <v>724</v>
      </c>
      <c r="B398" t="s">
        <v>656</v>
      </c>
      <c r="C398" t="s">
        <v>785</v>
      </c>
      <c r="D398" t="s">
        <v>785</v>
      </c>
      <c r="E398" t="s">
        <v>735</v>
      </c>
      <c r="F398" t="s">
        <v>735</v>
      </c>
      <c r="G398" s="5">
        <v>1495034</v>
      </c>
      <c r="H398" s="7" t="s">
        <v>279</v>
      </c>
      <c r="I398" s="5" t="s">
        <v>253</v>
      </c>
      <c r="J398" s="5">
        <v>1</v>
      </c>
      <c r="K398" s="5" t="s">
        <v>102</v>
      </c>
      <c r="L398" s="5" t="s">
        <v>109</v>
      </c>
      <c r="M398" s="5" t="s">
        <v>94</v>
      </c>
      <c r="N398" s="5" t="s">
        <v>268</v>
      </c>
      <c r="O398" s="4"/>
      <c r="P398" s="24">
        <f t="shared" si="90"/>
        <v>11</v>
      </c>
      <c r="Q398" s="8">
        <f t="shared" si="91"/>
        <v>0</v>
      </c>
      <c r="R398" s="8">
        <f t="shared" si="92"/>
        <v>11</v>
      </c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>
        <v>1</v>
      </c>
      <c r="AL398" s="8"/>
      <c r="AM398" s="8"/>
      <c r="AN398" s="8"/>
      <c r="AO398" s="8"/>
      <c r="AP398" s="8"/>
      <c r="AQ398" s="8">
        <v>3</v>
      </c>
      <c r="AR398" s="8"/>
      <c r="AS398" s="8"/>
      <c r="AT398" s="8"/>
      <c r="AU398" s="8"/>
      <c r="AV398" s="8">
        <v>1</v>
      </c>
      <c r="AW398" s="8"/>
      <c r="AX398" s="8"/>
      <c r="AY398" s="8"/>
      <c r="AZ398" s="8">
        <v>4</v>
      </c>
      <c r="BA398" s="8"/>
      <c r="BB398" s="8"/>
      <c r="BC398" s="8"/>
      <c r="BD398" s="8"/>
      <c r="BE398" s="8">
        <v>1</v>
      </c>
      <c r="BF398" s="8"/>
      <c r="BG398" s="8"/>
      <c r="BH398" s="8">
        <v>1</v>
      </c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</row>
    <row r="399" spans="1:76" ht="16.5" customHeight="1" x14ac:dyDescent="0.3">
      <c r="A399" t="s">
        <v>724</v>
      </c>
      <c r="B399" t="s">
        <v>656</v>
      </c>
      <c r="C399" t="s">
        <v>785</v>
      </c>
      <c r="D399" t="s">
        <v>785</v>
      </c>
      <c r="E399" t="s">
        <v>736</v>
      </c>
      <c r="F399" t="s">
        <v>736</v>
      </c>
      <c r="G399" s="5">
        <v>1495039</v>
      </c>
      <c r="H399" s="7" t="s">
        <v>217</v>
      </c>
      <c r="I399" s="5" t="s">
        <v>253</v>
      </c>
      <c r="J399" s="5">
        <v>1</v>
      </c>
      <c r="K399" s="5" t="s">
        <v>102</v>
      </c>
      <c r="L399" s="5" t="s">
        <v>109</v>
      </c>
      <c r="M399" s="5" t="s">
        <v>94</v>
      </c>
      <c r="N399" s="5" t="s">
        <v>268</v>
      </c>
      <c r="O399" s="4"/>
      <c r="P399" s="24">
        <f t="shared" si="90"/>
        <v>14</v>
      </c>
      <c r="Q399" s="8">
        <f t="shared" si="91"/>
        <v>0</v>
      </c>
      <c r="R399" s="8">
        <f t="shared" si="92"/>
        <v>14</v>
      </c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>
        <v>1</v>
      </c>
      <c r="AL399" s="8"/>
      <c r="AM399" s="8"/>
      <c r="AN399" s="8"/>
      <c r="AO399" s="8"/>
      <c r="AP399" s="8"/>
      <c r="AQ399" s="8">
        <v>2</v>
      </c>
      <c r="AR399" s="8"/>
      <c r="AS399" s="8"/>
      <c r="AT399" s="8"/>
      <c r="AU399" s="8">
        <v>1</v>
      </c>
      <c r="AV399" s="8">
        <v>1</v>
      </c>
      <c r="AW399" s="8"/>
      <c r="AX399" s="8"/>
      <c r="AY399" s="8"/>
      <c r="AZ399" s="8">
        <v>5</v>
      </c>
      <c r="BA399" s="8"/>
      <c r="BB399" s="8"/>
      <c r="BC399" s="8"/>
      <c r="BD399" s="8">
        <v>2</v>
      </c>
      <c r="BE399" s="8"/>
      <c r="BF399" s="8"/>
      <c r="BG399" s="8"/>
      <c r="BH399" s="8">
        <v>2</v>
      </c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</row>
    <row r="400" spans="1:76" ht="16.5" customHeight="1" x14ac:dyDescent="0.3">
      <c r="G400" s="14">
        <v>1494684</v>
      </c>
      <c r="H400" s="15" t="s">
        <v>426</v>
      </c>
      <c r="I400" s="14" t="s">
        <v>253</v>
      </c>
      <c r="J400" s="14">
        <v>2</v>
      </c>
      <c r="K400" s="14" t="s">
        <v>254</v>
      </c>
      <c r="L400" s="14" t="s">
        <v>255</v>
      </c>
      <c r="M400" s="14" t="s">
        <v>94</v>
      </c>
      <c r="N400" s="14" t="s">
        <v>110</v>
      </c>
      <c r="O400" s="13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</row>
    <row r="401" spans="1:76" ht="16.5" customHeight="1" x14ac:dyDescent="0.3">
      <c r="A401" t="s">
        <v>724</v>
      </c>
      <c r="B401" t="s">
        <v>656</v>
      </c>
      <c r="C401" t="s">
        <v>785</v>
      </c>
      <c r="D401" t="s">
        <v>790</v>
      </c>
      <c r="E401" t="s">
        <v>790</v>
      </c>
      <c r="F401" t="s">
        <v>790</v>
      </c>
      <c r="G401" s="5">
        <v>1494684</v>
      </c>
      <c r="H401" s="38" t="s">
        <v>427</v>
      </c>
      <c r="I401" s="5" t="s">
        <v>253</v>
      </c>
      <c r="J401" s="5">
        <v>2</v>
      </c>
      <c r="K401" s="5" t="s">
        <v>254</v>
      </c>
      <c r="L401" s="5" t="s">
        <v>255</v>
      </c>
      <c r="M401" s="5" t="s">
        <v>94</v>
      </c>
      <c r="N401" s="5" t="s">
        <v>110</v>
      </c>
      <c r="O401" s="4"/>
      <c r="P401" s="24">
        <f t="shared" ref="P401:P410" si="93">SUM(Q401,R401)</f>
        <v>1</v>
      </c>
      <c r="Q401" s="8">
        <f t="shared" ref="Q401:Q410" si="94">S401</f>
        <v>0</v>
      </c>
      <c r="R401" s="8">
        <f t="shared" ref="R401:R410" si="95">SUM(T401:BX401)</f>
        <v>1</v>
      </c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>
        <v>1</v>
      </c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</row>
    <row r="402" spans="1:76" ht="16.5" customHeight="1" x14ac:dyDescent="0.3">
      <c r="A402" t="s">
        <v>724</v>
      </c>
      <c r="B402" t="s">
        <v>656</v>
      </c>
      <c r="C402" t="s">
        <v>785</v>
      </c>
      <c r="D402" t="s">
        <v>790</v>
      </c>
      <c r="E402" t="s">
        <v>791</v>
      </c>
      <c r="F402" t="s">
        <v>791</v>
      </c>
      <c r="G402" s="5">
        <v>1494685</v>
      </c>
      <c r="H402" s="7" t="s">
        <v>428</v>
      </c>
      <c r="I402" s="5" t="s">
        <v>253</v>
      </c>
      <c r="J402" s="5">
        <v>2</v>
      </c>
      <c r="K402" s="5" t="s">
        <v>102</v>
      </c>
      <c r="L402" s="5" t="s">
        <v>109</v>
      </c>
      <c r="M402" s="5" t="s">
        <v>94</v>
      </c>
      <c r="N402" s="5" t="s">
        <v>283</v>
      </c>
      <c r="O402" s="4"/>
      <c r="P402" s="24">
        <f t="shared" si="93"/>
        <v>53</v>
      </c>
      <c r="Q402" s="8">
        <f t="shared" si="94"/>
        <v>0</v>
      </c>
      <c r="R402" s="8">
        <f t="shared" si="95"/>
        <v>53</v>
      </c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>
        <v>1</v>
      </c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>
        <v>4</v>
      </c>
      <c r="AQ402" s="8"/>
      <c r="AR402" s="8"/>
      <c r="AS402" s="8"/>
      <c r="AT402" s="8"/>
      <c r="AU402" s="8"/>
      <c r="AV402" s="8"/>
      <c r="AW402" s="8">
        <v>1</v>
      </c>
      <c r="AX402" s="8"/>
      <c r="AY402" s="8">
        <v>11</v>
      </c>
      <c r="AZ402" s="8"/>
      <c r="BA402" s="8"/>
      <c r="BB402" s="8"/>
      <c r="BC402" s="8"/>
      <c r="BD402" s="8"/>
      <c r="BE402" s="8"/>
      <c r="BF402" s="8"/>
      <c r="BG402" s="8"/>
      <c r="BH402" s="8">
        <v>1</v>
      </c>
      <c r="BI402" s="8"/>
      <c r="BJ402" s="8">
        <v>17</v>
      </c>
      <c r="BK402" s="8"/>
      <c r="BL402" s="8"/>
      <c r="BM402" s="8"/>
      <c r="BN402" s="8"/>
      <c r="BO402" s="8"/>
      <c r="BP402" s="8"/>
      <c r="BQ402" s="8">
        <v>7</v>
      </c>
      <c r="BR402" s="8"/>
      <c r="BS402" s="8">
        <v>11</v>
      </c>
      <c r="BT402" s="8"/>
      <c r="BU402" s="8"/>
      <c r="BV402" s="8"/>
      <c r="BW402" s="8"/>
      <c r="BX402" s="8"/>
    </row>
    <row r="403" spans="1:76" ht="16.5" customHeight="1" x14ac:dyDescent="0.3">
      <c r="A403" t="s">
        <v>724</v>
      </c>
      <c r="B403" t="s">
        <v>656</v>
      </c>
      <c r="C403" t="s">
        <v>785</v>
      </c>
      <c r="D403" t="s">
        <v>790</v>
      </c>
      <c r="E403" t="s">
        <v>792</v>
      </c>
      <c r="F403" t="s">
        <v>792</v>
      </c>
      <c r="G403" s="5">
        <v>1494885</v>
      </c>
      <c r="H403" s="7" t="s">
        <v>429</v>
      </c>
      <c r="I403" s="5" t="s">
        <v>253</v>
      </c>
      <c r="J403" s="5">
        <v>2</v>
      </c>
      <c r="K403" s="5" t="s">
        <v>102</v>
      </c>
      <c r="L403" s="5" t="s">
        <v>109</v>
      </c>
      <c r="M403" s="5" t="s">
        <v>94</v>
      </c>
      <c r="N403" s="5" t="s">
        <v>283</v>
      </c>
      <c r="O403" s="4"/>
      <c r="P403" s="24">
        <f t="shared" si="93"/>
        <v>13</v>
      </c>
      <c r="Q403" s="8">
        <f t="shared" si="94"/>
        <v>0</v>
      </c>
      <c r="R403" s="8">
        <f t="shared" si="95"/>
        <v>13</v>
      </c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>
        <v>1</v>
      </c>
      <c r="AJ403" s="8"/>
      <c r="AK403" s="8"/>
      <c r="AL403" s="8"/>
      <c r="AM403" s="8"/>
      <c r="AN403" s="8"/>
      <c r="AO403" s="8"/>
      <c r="AP403" s="8">
        <v>1</v>
      </c>
      <c r="AQ403" s="8"/>
      <c r="AR403" s="8"/>
      <c r="AS403" s="8"/>
      <c r="AT403" s="8"/>
      <c r="AU403" s="8"/>
      <c r="AV403" s="8"/>
      <c r="AW403" s="8">
        <v>1</v>
      </c>
      <c r="AX403" s="8"/>
      <c r="AY403" s="8">
        <v>2</v>
      </c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>
        <v>3</v>
      </c>
      <c r="BK403" s="8"/>
      <c r="BL403" s="8">
        <v>1</v>
      </c>
      <c r="BM403" s="8"/>
      <c r="BN403" s="8"/>
      <c r="BO403" s="8"/>
      <c r="BP403" s="8"/>
      <c r="BQ403" s="8">
        <v>3</v>
      </c>
      <c r="BR403" s="8"/>
      <c r="BS403" s="8">
        <v>1</v>
      </c>
      <c r="BT403" s="8"/>
      <c r="BU403" s="8"/>
      <c r="BV403" s="8"/>
      <c r="BW403" s="8"/>
      <c r="BX403" s="8"/>
    </row>
    <row r="404" spans="1:76" ht="16.5" customHeight="1" x14ac:dyDescent="0.3">
      <c r="A404" t="s">
        <v>724</v>
      </c>
      <c r="B404" t="s">
        <v>656</v>
      </c>
      <c r="C404" t="s">
        <v>785</v>
      </c>
      <c r="D404" t="s">
        <v>790</v>
      </c>
      <c r="E404" t="s">
        <v>793</v>
      </c>
      <c r="F404" t="s">
        <v>793</v>
      </c>
      <c r="G404" s="5">
        <v>1494732</v>
      </c>
      <c r="H404" s="7" t="s">
        <v>430</v>
      </c>
      <c r="I404" s="5" t="s">
        <v>253</v>
      </c>
      <c r="J404" s="5">
        <v>2</v>
      </c>
      <c r="K404" s="5" t="s">
        <v>102</v>
      </c>
      <c r="L404" s="5" t="s">
        <v>109</v>
      </c>
      <c r="M404" s="5" t="s">
        <v>94</v>
      </c>
      <c r="N404" s="5" t="s">
        <v>283</v>
      </c>
      <c r="O404" s="4"/>
      <c r="P404" s="24">
        <f t="shared" si="93"/>
        <v>11</v>
      </c>
      <c r="Q404" s="8">
        <f t="shared" si="94"/>
        <v>0</v>
      </c>
      <c r="R404" s="8">
        <f t="shared" si="95"/>
        <v>11</v>
      </c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>
        <v>1</v>
      </c>
      <c r="AJ404" s="8"/>
      <c r="AK404" s="8"/>
      <c r="AL404" s="8"/>
      <c r="AM404" s="8"/>
      <c r="AN404" s="8"/>
      <c r="AO404" s="8"/>
      <c r="AP404" s="8">
        <v>1</v>
      </c>
      <c r="AQ404" s="8"/>
      <c r="AR404" s="8"/>
      <c r="AS404" s="8"/>
      <c r="AT404" s="8"/>
      <c r="AU404" s="8"/>
      <c r="AV404" s="8"/>
      <c r="AW404" s="8">
        <v>1</v>
      </c>
      <c r="AX404" s="8"/>
      <c r="AY404" s="8">
        <v>1</v>
      </c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>
        <v>3</v>
      </c>
      <c r="BK404" s="8"/>
      <c r="BL404" s="8">
        <v>1</v>
      </c>
      <c r="BM404" s="8"/>
      <c r="BN404" s="8"/>
      <c r="BO404" s="8"/>
      <c r="BP404" s="8"/>
      <c r="BQ404" s="8">
        <v>2</v>
      </c>
      <c r="BR404" s="8"/>
      <c r="BS404" s="8">
        <v>1</v>
      </c>
      <c r="BT404" s="8"/>
      <c r="BU404" s="8"/>
      <c r="BV404" s="8"/>
      <c r="BW404" s="8"/>
      <c r="BX404" s="8"/>
    </row>
    <row r="405" spans="1:76" ht="16.5" customHeight="1" x14ac:dyDescent="0.3">
      <c r="A405" t="s">
        <v>724</v>
      </c>
      <c r="B405" t="s">
        <v>656</v>
      </c>
      <c r="C405" t="s">
        <v>785</v>
      </c>
      <c r="D405" t="s">
        <v>790</v>
      </c>
      <c r="E405" t="s">
        <v>665</v>
      </c>
      <c r="F405" t="s">
        <v>727</v>
      </c>
      <c r="G405" s="5">
        <v>1494855</v>
      </c>
      <c r="H405" s="7" t="s">
        <v>284</v>
      </c>
      <c r="I405" s="5" t="s">
        <v>253</v>
      </c>
      <c r="J405" s="5">
        <v>2</v>
      </c>
      <c r="K405" s="5" t="s">
        <v>102</v>
      </c>
      <c r="L405" s="5" t="s">
        <v>109</v>
      </c>
      <c r="M405" s="5" t="s">
        <v>94</v>
      </c>
      <c r="N405" s="5" t="s">
        <v>285</v>
      </c>
      <c r="O405" s="4"/>
      <c r="P405" s="24">
        <f t="shared" si="93"/>
        <v>21</v>
      </c>
      <c r="Q405" s="8">
        <f t="shared" si="94"/>
        <v>0</v>
      </c>
      <c r="R405" s="8">
        <f t="shared" si="95"/>
        <v>21</v>
      </c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>
        <v>1</v>
      </c>
      <c r="AK405" s="8"/>
      <c r="AL405" s="8"/>
      <c r="AM405" s="8"/>
      <c r="AN405" s="8">
        <v>1</v>
      </c>
      <c r="AO405" s="8"/>
      <c r="AP405" s="8">
        <v>1</v>
      </c>
      <c r="AQ405" s="8"/>
      <c r="AR405" s="8"/>
      <c r="AS405" s="8"/>
      <c r="AT405" s="8"/>
      <c r="AU405" s="8"/>
      <c r="AV405" s="8"/>
      <c r="AW405" s="8">
        <v>1</v>
      </c>
      <c r="AX405" s="8"/>
      <c r="AY405" s="8">
        <v>3</v>
      </c>
      <c r="AZ405" s="8"/>
      <c r="BA405" s="8"/>
      <c r="BB405" s="8"/>
      <c r="BC405" s="8"/>
      <c r="BD405" s="8"/>
      <c r="BE405" s="8"/>
      <c r="BF405" s="8"/>
      <c r="BG405" s="8"/>
      <c r="BH405" s="8">
        <v>2</v>
      </c>
      <c r="BI405" s="8"/>
      <c r="BJ405" s="8">
        <v>3</v>
      </c>
      <c r="BK405" s="8"/>
      <c r="BL405" s="8">
        <v>2</v>
      </c>
      <c r="BM405" s="8"/>
      <c r="BN405" s="8"/>
      <c r="BO405" s="8"/>
      <c r="BP405" s="8"/>
      <c r="BQ405" s="8">
        <v>3</v>
      </c>
      <c r="BR405" s="8"/>
      <c r="BS405" s="8">
        <v>2</v>
      </c>
      <c r="BT405" s="8">
        <v>1</v>
      </c>
      <c r="BU405" s="8"/>
      <c r="BV405" s="8">
        <v>1</v>
      </c>
      <c r="BW405" s="8"/>
      <c r="BX405" s="8"/>
    </row>
    <row r="406" spans="1:76" ht="16.5" customHeight="1" x14ac:dyDescent="0.3">
      <c r="A406" t="s">
        <v>724</v>
      </c>
      <c r="B406" t="s">
        <v>656</v>
      </c>
      <c r="C406" t="s">
        <v>785</v>
      </c>
      <c r="D406" t="s">
        <v>790</v>
      </c>
      <c r="E406" t="s">
        <v>670</v>
      </c>
      <c r="F406" t="s">
        <v>670</v>
      </c>
      <c r="G406" s="5">
        <v>1495119</v>
      </c>
      <c r="H406" s="7" t="s">
        <v>288</v>
      </c>
      <c r="I406" s="5" t="s">
        <v>253</v>
      </c>
      <c r="J406" s="5">
        <v>2</v>
      </c>
      <c r="K406" s="5" t="s">
        <v>102</v>
      </c>
      <c r="L406" s="5" t="s">
        <v>109</v>
      </c>
      <c r="M406" s="5" t="s">
        <v>94</v>
      </c>
      <c r="N406" s="5" t="s">
        <v>285</v>
      </c>
      <c r="O406" s="4"/>
      <c r="P406" s="24">
        <f t="shared" si="93"/>
        <v>29</v>
      </c>
      <c r="Q406" s="8">
        <f t="shared" si="94"/>
        <v>0</v>
      </c>
      <c r="R406" s="8">
        <f t="shared" si="95"/>
        <v>29</v>
      </c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>
        <v>1</v>
      </c>
      <c r="AJ406" s="8"/>
      <c r="AK406" s="8"/>
      <c r="AL406" s="8"/>
      <c r="AM406" s="8"/>
      <c r="AN406" s="8">
        <v>11</v>
      </c>
      <c r="AO406" s="8"/>
      <c r="AP406" s="8"/>
      <c r="AQ406" s="8"/>
      <c r="AR406" s="8"/>
      <c r="AS406" s="8"/>
      <c r="AT406" s="8"/>
      <c r="AU406" s="8"/>
      <c r="AV406" s="8"/>
      <c r="AW406" s="8">
        <v>11</v>
      </c>
      <c r="AX406" s="8"/>
      <c r="AY406" s="8"/>
      <c r="AZ406" s="8">
        <v>1</v>
      </c>
      <c r="BA406" s="8"/>
      <c r="BB406" s="8"/>
      <c r="BC406" s="8"/>
      <c r="BD406" s="8"/>
      <c r="BE406" s="8"/>
      <c r="BF406" s="8"/>
      <c r="BG406" s="8"/>
      <c r="BH406" s="8">
        <v>4</v>
      </c>
      <c r="BI406" s="8"/>
      <c r="BJ406" s="8"/>
      <c r="BK406" s="8"/>
      <c r="BL406" s="8"/>
      <c r="BM406" s="8"/>
      <c r="BN406" s="8"/>
      <c r="BO406" s="8">
        <v>1</v>
      </c>
      <c r="BP406" s="8"/>
      <c r="BQ406" s="8"/>
      <c r="BR406" s="8"/>
      <c r="BS406" s="8"/>
      <c r="BT406" s="8"/>
      <c r="BU406" s="8"/>
      <c r="BV406" s="8"/>
      <c r="BW406" s="8"/>
      <c r="BX406" s="8"/>
    </row>
    <row r="407" spans="1:76" ht="16.5" customHeight="1" x14ac:dyDescent="0.3">
      <c r="A407" t="s">
        <v>724</v>
      </c>
      <c r="B407" t="s">
        <v>656</v>
      </c>
      <c r="C407" t="s">
        <v>785</v>
      </c>
      <c r="D407" t="s">
        <v>790</v>
      </c>
      <c r="E407" t="s">
        <v>731</v>
      </c>
      <c r="F407" t="s">
        <v>731</v>
      </c>
      <c r="G407" s="5">
        <v>1495155</v>
      </c>
      <c r="H407" s="7" t="s">
        <v>289</v>
      </c>
      <c r="I407" s="5" t="s">
        <v>253</v>
      </c>
      <c r="J407" s="5">
        <v>2</v>
      </c>
      <c r="K407" s="5" t="s">
        <v>102</v>
      </c>
      <c r="L407" s="5" t="s">
        <v>109</v>
      </c>
      <c r="M407" s="5" t="s">
        <v>94</v>
      </c>
      <c r="N407" s="5" t="s">
        <v>285</v>
      </c>
      <c r="O407" s="4"/>
      <c r="P407" s="24">
        <f t="shared" si="93"/>
        <v>21</v>
      </c>
      <c r="Q407" s="8">
        <f t="shared" si="94"/>
        <v>0</v>
      </c>
      <c r="R407" s="8">
        <f t="shared" si="95"/>
        <v>21</v>
      </c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>
        <v>1</v>
      </c>
      <c r="AJ407" s="8"/>
      <c r="AK407" s="8"/>
      <c r="AL407" s="8"/>
      <c r="AM407" s="8"/>
      <c r="AN407" s="8">
        <v>7</v>
      </c>
      <c r="AO407" s="8"/>
      <c r="AP407" s="8"/>
      <c r="AQ407" s="8"/>
      <c r="AR407" s="8"/>
      <c r="AS407" s="8"/>
      <c r="AT407" s="8"/>
      <c r="AU407" s="8"/>
      <c r="AV407" s="8"/>
      <c r="AW407" s="8">
        <v>9</v>
      </c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>
        <v>3</v>
      </c>
      <c r="BI407" s="8"/>
      <c r="BJ407" s="8"/>
      <c r="BK407" s="8"/>
      <c r="BL407" s="8"/>
      <c r="BM407" s="8"/>
      <c r="BN407" s="8"/>
      <c r="BO407" s="8">
        <v>1</v>
      </c>
      <c r="BP407" s="8"/>
      <c r="BQ407" s="8"/>
      <c r="BR407" s="8"/>
      <c r="BS407" s="8"/>
      <c r="BT407" s="8"/>
      <c r="BU407" s="8"/>
      <c r="BV407" s="8"/>
      <c r="BW407" s="8"/>
      <c r="BX407" s="8"/>
    </row>
    <row r="408" spans="1:76" ht="16.5" customHeight="1" x14ac:dyDescent="0.3">
      <c r="A408" t="s">
        <v>724</v>
      </c>
      <c r="B408" t="s">
        <v>656</v>
      </c>
      <c r="C408" t="s">
        <v>785</v>
      </c>
      <c r="D408" t="s">
        <v>790</v>
      </c>
      <c r="E408" t="s">
        <v>741</v>
      </c>
      <c r="F408" t="s">
        <v>741</v>
      </c>
      <c r="G408" s="5">
        <v>1495187</v>
      </c>
      <c r="H408" s="7" t="s">
        <v>291</v>
      </c>
      <c r="I408" s="5" t="s">
        <v>253</v>
      </c>
      <c r="J408" s="5">
        <v>2</v>
      </c>
      <c r="K408" s="5" t="s">
        <v>102</v>
      </c>
      <c r="L408" s="5" t="s">
        <v>109</v>
      </c>
      <c r="M408" s="5" t="s">
        <v>94</v>
      </c>
      <c r="N408" s="5" t="s">
        <v>285</v>
      </c>
      <c r="O408" s="4"/>
      <c r="P408" s="24">
        <f t="shared" si="93"/>
        <v>10</v>
      </c>
      <c r="Q408" s="8">
        <f t="shared" si="94"/>
        <v>0</v>
      </c>
      <c r="R408" s="8">
        <f t="shared" si="95"/>
        <v>10</v>
      </c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>
        <v>1</v>
      </c>
      <c r="AJ408" s="8"/>
      <c r="AK408" s="8"/>
      <c r="AL408" s="8"/>
      <c r="AM408" s="8"/>
      <c r="AN408" s="8">
        <v>4</v>
      </c>
      <c r="AO408" s="8"/>
      <c r="AP408" s="8"/>
      <c r="AQ408" s="8"/>
      <c r="AR408" s="8"/>
      <c r="AS408" s="8"/>
      <c r="AT408" s="8"/>
      <c r="AU408" s="8"/>
      <c r="AV408" s="8"/>
      <c r="AW408" s="8">
        <v>4</v>
      </c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>
        <v>1</v>
      </c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</row>
    <row r="409" spans="1:76" ht="16.5" customHeight="1" x14ac:dyDescent="0.3">
      <c r="A409" t="s">
        <v>724</v>
      </c>
      <c r="B409" t="s">
        <v>656</v>
      </c>
      <c r="C409" t="s">
        <v>785</v>
      </c>
      <c r="D409" t="s">
        <v>790</v>
      </c>
      <c r="E409" t="s">
        <v>735</v>
      </c>
      <c r="F409" t="s">
        <v>735</v>
      </c>
      <c r="G409" s="5">
        <v>1495216</v>
      </c>
      <c r="H409" s="7" t="s">
        <v>292</v>
      </c>
      <c r="I409" s="5" t="s">
        <v>253</v>
      </c>
      <c r="J409" s="5">
        <v>2</v>
      </c>
      <c r="K409" s="5" t="s">
        <v>102</v>
      </c>
      <c r="L409" s="5" t="s">
        <v>109</v>
      </c>
      <c r="M409" s="5" t="s">
        <v>94</v>
      </c>
      <c r="N409" s="5" t="s">
        <v>285</v>
      </c>
      <c r="O409" s="4"/>
      <c r="P409" s="24">
        <f t="shared" si="93"/>
        <v>22</v>
      </c>
      <c r="Q409" s="8">
        <f t="shared" si="94"/>
        <v>0</v>
      </c>
      <c r="R409" s="8">
        <f t="shared" si="95"/>
        <v>22</v>
      </c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>
        <v>1</v>
      </c>
      <c r="AL409" s="8"/>
      <c r="AM409" s="8"/>
      <c r="AN409" s="8">
        <v>1</v>
      </c>
      <c r="AO409" s="8"/>
      <c r="AP409" s="8"/>
      <c r="AQ409" s="8">
        <v>5</v>
      </c>
      <c r="AR409" s="8"/>
      <c r="AS409" s="8"/>
      <c r="AT409" s="8"/>
      <c r="AU409" s="8">
        <v>2</v>
      </c>
      <c r="AV409" s="8"/>
      <c r="AW409" s="8"/>
      <c r="AX409" s="8"/>
      <c r="AY409" s="8"/>
      <c r="AZ409" s="8">
        <v>7</v>
      </c>
      <c r="BA409" s="8"/>
      <c r="BB409" s="8"/>
      <c r="BC409" s="8"/>
      <c r="BD409" s="8">
        <v>2</v>
      </c>
      <c r="BE409" s="8">
        <v>2</v>
      </c>
      <c r="BF409" s="8"/>
      <c r="BG409" s="8"/>
      <c r="BH409" s="8">
        <v>2</v>
      </c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</row>
    <row r="410" spans="1:76" ht="16.5" customHeight="1" x14ac:dyDescent="0.3">
      <c r="A410" t="s">
        <v>724</v>
      </c>
      <c r="B410" t="s">
        <v>656</v>
      </c>
      <c r="C410" t="s">
        <v>785</v>
      </c>
      <c r="D410" t="s">
        <v>790</v>
      </c>
      <c r="E410" t="s">
        <v>736</v>
      </c>
      <c r="F410" t="s">
        <v>736</v>
      </c>
      <c r="G410" s="5">
        <v>1495240</v>
      </c>
      <c r="H410" s="7" t="s">
        <v>327</v>
      </c>
      <c r="I410" s="5" t="s">
        <v>253</v>
      </c>
      <c r="J410" s="5">
        <v>2</v>
      </c>
      <c r="K410" s="5" t="s">
        <v>102</v>
      </c>
      <c r="L410" s="5" t="s">
        <v>109</v>
      </c>
      <c r="M410" s="5" t="s">
        <v>94</v>
      </c>
      <c r="N410" s="5" t="s">
        <v>285</v>
      </c>
      <c r="O410" s="4"/>
      <c r="P410" s="24">
        <f t="shared" si="93"/>
        <v>5</v>
      </c>
      <c r="Q410" s="8">
        <f t="shared" si="94"/>
        <v>0</v>
      </c>
      <c r="R410" s="8">
        <f t="shared" si="95"/>
        <v>5</v>
      </c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>
        <v>1</v>
      </c>
      <c r="AK410" s="8"/>
      <c r="AL410" s="8"/>
      <c r="AM410" s="8"/>
      <c r="AN410" s="8"/>
      <c r="AO410" s="8"/>
      <c r="AP410" s="8"/>
      <c r="AQ410" s="8">
        <v>1</v>
      </c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>
        <v>3</v>
      </c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</row>
    <row r="411" spans="1:76" ht="16.5" customHeight="1" x14ac:dyDescent="0.3">
      <c r="G411" s="14">
        <v>1494158</v>
      </c>
      <c r="H411" s="15" t="s">
        <v>431</v>
      </c>
      <c r="I411" s="14" t="s">
        <v>253</v>
      </c>
      <c r="J411" s="14">
        <v>2</v>
      </c>
      <c r="K411" s="14" t="s">
        <v>254</v>
      </c>
      <c r="L411" s="14" t="s">
        <v>255</v>
      </c>
      <c r="M411" s="14" t="s">
        <v>94</v>
      </c>
      <c r="N411" s="14" t="s">
        <v>110</v>
      </c>
      <c r="O411" s="13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</row>
    <row r="412" spans="1:76" ht="16.5" customHeight="1" x14ac:dyDescent="0.3">
      <c r="A412" t="s">
        <v>724</v>
      </c>
      <c r="B412" t="s">
        <v>656</v>
      </c>
      <c r="C412" t="s">
        <v>785</v>
      </c>
      <c r="D412" t="s">
        <v>794</v>
      </c>
      <c r="E412" t="s">
        <v>794</v>
      </c>
      <c r="F412" t="s">
        <v>794</v>
      </c>
      <c r="G412" s="5">
        <v>1494158</v>
      </c>
      <c r="H412" s="38" t="s">
        <v>432</v>
      </c>
      <c r="I412" s="5" t="s">
        <v>253</v>
      </c>
      <c r="J412" s="5">
        <v>2</v>
      </c>
      <c r="K412" s="5" t="s">
        <v>254</v>
      </c>
      <c r="L412" s="5" t="s">
        <v>255</v>
      </c>
      <c r="M412" s="5" t="s">
        <v>94</v>
      </c>
      <c r="N412" s="5" t="s">
        <v>110</v>
      </c>
      <c r="O412" s="4"/>
      <c r="P412" s="24">
        <f t="shared" ref="P412:P422" si="96">SUM(Q412,R412)</f>
        <v>1</v>
      </c>
      <c r="Q412" s="8">
        <f t="shared" ref="Q412:Q422" si="97">S412</f>
        <v>0</v>
      </c>
      <c r="R412" s="8">
        <f t="shared" ref="R412:R422" si="98">SUM(T412:BX412)</f>
        <v>1</v>
      </c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>
        <v>1</v>
      </c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</row>
    <row r="413" spans="1:76" ht="16.5" customHeight="1" x14ac:dyDescent="0.3">
      <c r="A413" t="s">
        <v>724</v>
      </c>
      <c r="B413" t="s">
        <v>656</v>
      </c>
      <c r="C413" t="s">
        <v>785</v>
      </c>
      <c r="D413" t="s">
        <v>794</v>
      </c>
      <c r="E413" t="s">
        <v>795</v>
      </c>
      <c r="F413" t="s">
        <v>795</v>
      </c>
      <c r="G413" s="5">
        <v>1494538</v>
      </c>
      <c r="H413" s="7" t="s">
        <v>433</v>
      </c>
      <c r="I413" s="5" t="s">
        <v>253</v>
      </c>
      <c r="J413" s="5">
        <v>2</v>
      </c>
      <c r="K413" s="5" t="s">
        <v>102</v>
      </c>
      <c r="L413" s="5" t="s">
        <v>109</v>
      </c>
      <c r="M413" s="5" t="s">
        <v>94</v>
      </c>
      <c r="N413" s="5" t="s">
        <v>283</v>
      </c>
      <c r="O413" s="4"/>
      <c r="P413" s="24">
        <f t="shared" si="96"/>
        <v>32</v>
      </c>
      <c r="Q413" s="8">
        <f t="shared" si="97"/>
        <v>0</v>
      </c>
      <c r="R413" s="8">
        <f t="shared" si="98"/>
        <v>32</v>
      </c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>
        <v>1</v>
      </c>
      <c r="AJ413" s="8"/>
      <c r="AK413" s="8"/>
      <c r="AL413" s="8"/>
      <c r="AM413" s="8"/>
      <c r="AN413" s="8"/>
      <c r="AO413" s="8"/>
      <c r="AP413" s="8">
        <v>3</v>
      </c>
      <c r="AQ413" s="8"/>
      <c r="AR413" s="8"/>
      <c r="AS413" s="8"/>
      <c r="AT413" s="8"/>
      <c r="AU413" s="8"/>
      <c r="AV413" s="8"/>
      <c r="AW413" s="8">
        <v>1</v>
      </c>
      <c r="AX413" s="8"/>
      <c r="AY413" s="8">
        <v>6</v>
      </c>
      <c r="AZ413" s="8"/>
      <c r="BA413" s="8"/>
      <c r="BB413" s="8"/>
      <c r="BC413" s="8">
        <v>1</v>
      </c>
      <c r="BD413" s="8"/>
      <c r="BE413" s="8"/>
      <c r="BF413" s="8"/>
      <c r="BG413" s="8"/>
      <c r="BH413" s="8">
        <v>1</v>
      </c>
      <c r="BI413" s="8"/>
      <c r="BJ413" s="8">
        <v>7</v>
      </c>
      <c r="BK413" s="8"/>
      <c r="BL413" s="8">
        <v>2</v>
      </c>
      <c r="BM413" s="8"/>
      <c r="BN413" s="8"/>
      <c r="BO413" s="8"/>
      <c r="BP413" s="8"/>
      <c r="BQ413" s="8">
        <v>5</v>
      </c>
      <c r="BR413" s="8"/>
      <c r="BS413" s="8">
        <v>5</v>
      </c>
      <c r="BT413" s="8"/>
      <c r="BU413" s="8"/>
      <c r="BV413" s="8"/>
      <c r="BW413" s="8"/>
      <c r="BX413" s="8"/>
    </row>
    <row r="414" spans="1:76" ht="16.5" customHeight="1" x14ac:dyDescent="0.3">
      <c r="A414" t="s">
        <v>724</v>
      </c>
      <c r="B414" t="s">
        <v>656</v>
      </c>
      <c r="C414" t="s">
        <v>785</v>
      </c>
      <c r="D414" t="s">
        <v>794</v>
      </c>
      <c r="E414" t="s">
        <v>796</v>
      </c>
      <c r="F414" t="s">
        <v>796</v>
      </c>
      <c r="G414" s="5">
        <v>1494539</v>
      </c>
      <c r="H414" s="7" t="s">
        <v>434</v>
      </c>
      <c r="I414" s="5" t="s">
        <v>253</v>
      </c>
      <c r="J414" s="5">
        <v>2</v>
      </c>
      <c r="K414" s="5" t="s">
        <v>102</v>
      </c>
      <c r="L414" s="5" t="s">
        <v>109</v>
      </c>
      <c r="M414" s="5" t="s">
        <v>94</v>
      </c>
      <c r="N414" s="5" t="s">
        <v>283</v>
      </c>
      <c r="O414" s="4"/>
      <c r="P414" s="24">
        <f t="shared" si="96"/>
        <v>13</v>
      </c>
      <c r="Q414" s="8">
        <f t="shared" si="97"/>
        <v>0</v>
      </c>
      <c r="R414" s="8">
        <f t="shared" si="98"/>
        <v>13</v>
      </c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>
        <v>1</v>
      </c>
      <c r="AK414" s="8"/>
      <c r="AL414" s="8"/>
      <c r="AM414" s="8"/>
      <c r="AN414" s="8"/>
      <c r="AO414" s="8"/>
      <c r="AP414" s="8">
        <v>1</v>
      </c>
      <c r="AQ414" s="8"/>
      <c r="AR414" s="8"/>
      <c r="AS414" s="8"/>
      <c r="AT414" s="8"/>
      <c r="AU414" s="8"/>
      <c r="AV414" s="8"/>
      <c r="AW414" s="8">
        <v>1</v>
      </c>
      <c r="AX414" s="8"/>
      <c r="AY414" s="8">
        <v>2</v>
      </c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>
        <v>3</v>
      </c>
      <c r="BK414" s="8"/>
      <c r="BL414" s="8">
        <v>1</v>
      </c>
      <c r="BM414" s="8"/>
      <c r="BN414" s="8"/>
      <c r="BO414" s="8"/>
      <c r="BP414" s="8"/>
      <c r="BQ414" s="8">
        <v>3</v>
      </c>
      <c r="BR414" s="8"/>
      <c r="BS414" s="8">
        <v>1</v>
      </c>
      <c r="BT414" s="8"/>
      <c r="BU414" s="8"/>
      <c r="BV414" s="8"/>
      <c r="BW414" s="8"/>
      <c r="BX414" s="8"/>
    </row>
    <row r="415" spans="1:76" ht="16.5" customHeight="1" x14ac:dyDescent="0.3">
      <c r="A415" t="s">
        <v>724</v>
      </c>
      <c r="B415" t="s">
        <v>656</v>
      </c>
      <c r="C415" t="s">
        <v>785</v>
      </c>
      <c r="D415" t="s">
        <v>794</v>
      </c>
      <c r="E415" t="s">
        <v>665</v>
      </c>
      <c r="F415" t="s">
        <v>727</v>
      </c>
      <c r="G415" s="5">
        <v>1494856</v>
      </c>
      <c r="H415" s="7" t="s">
        <v>284</v>
      </c>
      <c r="I415" s="5" t="s">
        <v>253</v>
      </c>
      <c r="J415" s="5">
        <v>2</v>
      </c>
      <c r="K415" s="5" t="s">
        <v>102</v>
      </c>
      <c r="L415" s="5" t="s">
        <v>109</v>
      </c>
      <c r="M415" s="5" t="s">
        <v>94</v>
      </c>
      <c r="N415" s="5" t="s">
        <v>285</v>
      </c>
      <c r="O415" s="4"/>
      <c r="P415" s="24">
        <f t="shared" si="96"/>
        <v>7</v>
      </c>
      <c r="Q415" s="8">
        <f t="shared" si="97"/>
        <v>0</v>
      </c>
      <c r="R415" s="8">
        <f t="shared" si="98"/>
        <v>7</v>
      </c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>
        <v>1</v>
      </c>
      <c r="AK415" s="8"/>
      <c r="AL415" s="8"/>
      <c r="AM415" s="8"/>
      <c r="AN415" s="8">
        <v>1</v>
      </c>
      <c r="AO415" s="8"/>
      <c r="AP415" s="8"/>
      <c r="AQ415" s="8"/>
      <c r="AR415" s="8"/>
      <c r="AS415" s="8"/>
      <c r="AT415" s="8"/>
      <c r="AU415" s="8"/>
      <c r="AV415" s="8"/>
      <c r="AW415" s="8"/>
      <c r="AX415" s="8">
        <v>1</v>
      </c>
      <c r="AY415" s="8">
        <v>1</v>
      </c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>
        <v>1</v>
      </c>
      <c r="BK415" s="8"/>
      <c r="BL415" s="8"/>
      <c r="BM415" s="8"/>
      <c r="BN415" s="8"/>
      <c r="BO415" s="8"/>
      <c r="BP415" s="8">
        <v>1</v>
      </c>
      <c r="BQ415" s="8">
        <v>1</v>
      </c>
      <c r="BR415" s="8"/>
      <c r="BS415" s="8"/>
      <c r="BT415" s="8"/>
      <c r="BU415" s="8"/>
      <c r="BV415" s="8"/>
      <c r="BW415" s="8"/>
      <c r="BX415" s="8"/>
    </row>
    <row r="416" spans="1:76" ht="16.5" customHeight="1" x14ac:dyDescent="0.3">
      <c r="A416" t="s">
        <v>724</v>
      </c>
      <c r="B416" t="s">
        <v>656</v>
      </c>
      <c r="C416" t="s">
        <v>785</v>
      </c>
      <c r="D416" t="s">
        <v>794</v>
      </c>
      <c r="E416" t="s">
        <v>728</v>
      </c>
      <c r="F416" t="s">
        <v>728</v>
      </c>
      <c r="G416" s="5">
        <v>1494857</v>
      </c>
      <c r="H416" s="7" t="s">
        <v>286</v>
      </c>
      <c r="I416" s="5" t="s">
        <v>253</v>
      </c>
      <c r="J416" s="5">
        <v>2</v>
      </c>
      <c r="K416" s="5" t="s">
        <v>102</v>
      </c>
      <c r="L416" s="5" t="s">
        <v>109</v>
      </c>
      <c r="M416" s="5" t="s">
        <v>94</v>
      </c>
      <c r="N416" s="5" t="s">
        <v>285</v>
      </c>
      <c r="O416" s="4"/>
      <c r="P416" s="24">
        <f t="shared" si="96"/>
        <v>12</v>
      </c>
      <c r="Q416" s="8">
        <f t="shared" si="97"/>
        <v>0</v>
      </c>
      <c r="R416" s="8">
        <f t="shared" si="98"/>
        <v>12</v>
      </c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>
        <v>1</v>
      </c>
      <c r="AK416" s="8"/>
      <c r="AL416" s="8"/>
      <c r="AM416" s="8"/>
      <c r="AN416" s="8">
        <v>1</v>
      </c>
      <c r="AO416" s="8"/>
      <c r="AP416" s="8"/>
      <c r="AQ416" s="8"/>
      <c r="AR416" s="8"/>
      <c r="AS416" s="8"/>
      <c r="AT416" s="8"/>
      <c r="AU416" s="8"/>
      <c r="AV416" s="8"/>
      <c r="AW416" s="8">
        <v>1</v>
      </c>
      <c r="AX416" s="8"/>
      <c r="AY416" s="8">
        <v>1</v>
      </c>
      <c r="AZ416" s="8"/>
      <c r="BA416" s="8"/>
      <c r="BB416" s="8"/>
      <c r="BC416" s="8"/>
      <c r="BD416" s="8"/>
      <c r="BE416" s="8"/>
      <c r="BF416" s="8"/>
      <c r="BG416" s="8"/>
      <c r="BH416" s="8">
        <v>1</v>
      </c>
      <c r="BI416" s="8"/>
      <c r="BJ416" s="8"/>
      <c r="BK416" s="8"/>
      <c r="BL416" s="8">
        <v>2</v>
      </c>
      <c r="BM416" s="8"/>
      <c r="BN416" s="8"/>
      <c r="BO416" s="8">
        <v>1</v>
      </c>
      <c r="BP416" s="8"/>
      <c r="BQ416" s="8"/>
      <c r="BR416" s="8"/>
      <c r="BS416" s="8">
        <v>1</v>
      </c>
      <c r="BT416" s="8">
        <v>1</v>
      </c>
      <c r="BU416" s="8">
        <v>1</v>
      </c>
      <c r="BV416" s="8">
        <v>1</v>
      </c>
      <c r="BW416" s="8"/>
      <c r="BX416" s="8"/>
    </row>
    <row r="417" spans="1:76" ht="16.5" customHeight="1" x14ac:dyDescent="0.3">
      <c r="A417" t="s">
        <v>724</v>
      </c>
      <c r="B417" t="s">
        <v>656</v>
      </c>
      <c r="C417" t="s">
        <v>785</v>
      </c>
      <c r="D417" t="s">
        <v>794</v>
      </c>
      <c r="E417" t="s">
        <v>670</v>
      </c>
      <c r="F417" t="s">
        <v>670</v>
      </c>
      <c r="G417" s="5">
        <v>1495121</v>
      </c>
      <c r="H417" s="7" t="s">
        <v>288</v>
      </c>
      <c r="I417" s="5" t="s">
        <v>253</v>
      </c>
      <c r="J417" s="5">
        <v>2</v>
      </c>
      <c r="K417" s="5" t="s">
        <v>102</v>
      </c>
      <c r="L417" s="5" t="s">
        <v>109</v>
      </c>
      <c r="M417" s="5" t="s">
        <v>94</v>
      </c>
      <c r="N417" s="5" t="s">
        <v>285</v>
      </c>
      <c r="O417" s="4"/>
      <c r="P417" s="24">
        <f t="shared" si="96"/>
        <v>21</v>
      </c>
      <c r="Q417" s="8">
        <f t="shared" si="97"/>
        <v>0</v>
      </c>
      <c r="R417" s="8">
        <f t="shared" si="98"/>
        <v>21</v>
      </c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>
        <v>1</v>
      </c>
      <c r="AJ417" s="8"/>
      <c r="AK417" s="8"/>
      <c r="AL417" s="8"/>
      <c r="AM417" s="8"/>
      <c r="AN417" s="8">
        <v>8</v>
      </c>
      <c r="AO417" s="8"/>
      <c r="AP417" s="8"/>
      <c r="AQ417" s="8"/>
      <c r="AR417" s="8"/>
      <c r="AS417" s="8"/>
      <c r="AT417" s="8"/>
      <c r="AU417" s="8"/>
      <c r="AV417" s="8"/>
      <c r="AW417" s="8">
        <v>9</v>
      </c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>
        <v>2</v>
      </c>
      <c r="BI417" s="8"/>
      <c r="BJ417" s="8"/>
      <c r="BK417" s="8"/>
      <c r="BL417" s="8"/>
      <c r="BM417" s="8"/>
      <c r="BN417" s="8"/>
      <c r="BO417" s="8">
        <v>1</v>
      </c>
      <c r="BP417" s="8"/>
      <c r="BQ417" s="8"/>
      <c r="BR417" s="8"/>
      <c r="BS417" s="8"/>
      <c r="BT417" s="8"/>
      <c r="BU417" s="8"/>
      <c r="BV417" s="8"/>
      <c r="BW417" s="8"/>
      <c r="BX417" s="8"/>
    </row>
    <row r="418" spans="1:76" ht="16.5" customHeight="1" x14ac:dyDescent="0.3">
      <c r="A418" t="s">
        <v>724</v>
      </c>
      <c r="B418" t="s">
        <v>656</v>
      </c>
      <c r="C418" t="s">
        <v>785</v>
      </c>
      <c r="D418" t="s">
        <v>794</v>
      </c>
      <c r="E418" t="s">
        <v>731</v>
      </c>
      <c r="F418" t="s">
        <v>731</v>
      </c>
      <c r="G418" s="5">
        <v>1495156</v>
      </c>
      <c r="H418" s="7" t="s">
        <v>289</v>
      </c>
      <c r="I418" s="5" t="s">
        <v>253</v>
      </c>
      <c r="J418" s="5">
        <v>2</v>
      </c>
      <c r="K418" s="5" t="s">
        <v>102</v>
      </c>
      <c r="L418" s="5" t="s">
        <v>109</v>
      </c>
      <c r="M418" s="5" t="s">
        <v>94</v>
      </c>
      <c r="N418" s="5" t="s">
        <v>285</v>
      </c>
      <c r="O418" s="4"/>
      <c r="P418" s="24">
        <f t="shared" si="96"/>
        <v>17</v>
      </c>
      <c r="Q418" s="8">
        <f t="shared" si="97"/>
        <v>0</v>
      </c>
      <c r="R418" s="8">
        <f t="shared" si="98"/>
        <v>17</v>
      </c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>
        <v>1</v>
      </c>
      <c r="AJ418" s="8"/>
      <c r="AK418" s="8"/>
      <c r="AL418" s="8"/>
      <c r="AM418" s="8"/>
      <c r="AN418" s="8">
        <v>6</v>
      </c>
      <c r="AO418" s="8"/>
      <c r="AP418" s="8"/>
      <c r="AQ418" s="8"/>
      <c r="AR418" s="8"/>
      <c r="AS418" s="8"/>
      <c r="AT418" s="8"/>
      <c r="AU418" s="8"/>
      <c r="AV418" s="8"/>
      <c r="AW418" s="8">
        <v>7</v>
      </c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>
        <v>2</v>
      </c>
      <c r="BI418" s="8"/>
      <c r="BJ418" s="8"/>
      <c r="BK418" s="8"/>
      <c r="BL418" s="8"/>
      <c r="BM418" s="8"/>
      <c r="BN418" s="8"/>
      <c r="BO418" s="8">
        <v>1</v>
      </c>
      <c r="BP418" s="8"/>
      <c r="BQ418" s="8"/>
      <c r="BR418" s="8"/>
      <c r="BS418" s="8"/>
      <c r="BT418" s="8"/>
      <c r="BU418" s="8"/>
      <c r="BV418" s="8"/>
      <c r="BW418" s="8"/>
      <c r="BX418" s="8"/>
    </row>
    <row r="419" spans="1:76" ht="16.5" customHeight="1" x14ac:dyDescent="0.3">
      <c r="A419" t="s">
        <v>724</v>
      </c>
      <c r="B419" t="s">
        <v>656</v>
      </c>
      <c r="C419" t="s">
        <v>785</v>
      </c>
      <c r="D419" t="s">
        <v>794</v>
      </c>
      <c r="E419" t="s">
        <v>741</v>
      </c>
      <c r="F419" t="s">
        <v>741</v>
      </c>
      <c r="G419" s="5">
        <v>1495188</v>
      </c>
      <c r="H419" s="7" t="s">
        <v>291</v>
      </c>
      <c r="I419" s="5" t="s">
        <v>253</v>
      </c>
      <c r="J419" s="5">
        <v>2</v>
      </c>
      <c r="K419" s="5" t="s">
        <v>102</v>
      </c>
      <c r="L419" s="5" t="s">
        <v>109</v>
      </c>
      <c r="M419" s="5" t="s">
        <v>94</v>
      </c>
      <c r="N419" s="5" t="s">
        <v>285</v>
      </c>
      <c r="O419" s="4"/>
      <c r="P419" s="24">
        <f t="shared" si="96"/>
        <v>10</v>
      </c>
      <c r="Q419" s="8">
        <f t="shared" si="97"/>
        <v>0</v>
      </c>
      <c r="R419" s="8">
        <f t="shared" si="98"/>
        <v>10</v>
      </c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>
        <v>1</v>
      </c>
      <c r="AJ419" s="8"/>
      <c r="AK419" s="8"/>
      <c r="AL419" s="8"/>
      <c r="AM419" s="8"/>
      <c r="AN419" s="8">
        <v>3</v>
      </c>
      <c r="AO419" s="8"/>
      <c r="AP419" s="8"/>
      <c r="AQ419" s="8"/>
      <c r="AR419" s="8"/>
      <c r="AS419" s="8"/>
      <c r="AT419" s="8"/>
      <c r="AU419" s="8"/>
      <c r="AV419" s="8"/>
      <c r="AW419" s="8">
        <v>4</v>
      </c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>
        <v>2</v>
      </c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</row>
    <row r="420" spans="1:76" ht="16.5" customHeight="1" x14ac:dyDescent="0.3">
      <c r="A420" t="s">
        <v>724</v>
      </c>
      <c r="B420" t="s">
        <v>656</v>
      </c>
      <c r="C420" t="s">
        <v>785</v>
      </c>
      <c r="D420" t="s">
        <v>794</v>
      </c>
      <c r="E420" t="s">
        <v>734</v>
      </c>
      <c r="F420" t="s">
        <v>734</v>
      </c>
      <c r="G420" s="5">
        <v>1495217</v>
      </c>
      <c r="H420" s="7" t="s">
        <v>297</v>
      </c>
      <c r="I420" s="5" t="s">
        <v>253</v>
      </c>
      <c r="J420" s="5">
        <v>2</v>
      </c>
      <c r="K420" s="5" t="s">
        <v>102</v>
      </c>
      <c r="L420" s="5" t="s">
        <v>109</v>
      </c>
      <c r="M420" s="5" t="s">
        <v>94</v>
      </c>
      <c r="N420" s="5" t="s">
        <v>285</v>
      </c>
      <c r="O420" s="4"/>
      <c r="P420" s="24">
        <f t="shared" si="96"/>
        <v>10</v>
      </c>
      <c r="Q420" s="8">
        <f t="shared" si="97"/>
        <v>0</v>
      </c>
      <c r="R420" s="8">
        <f t="shared" si="98"/>
        <v>10</v>
      </c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>
        <v>1</v>
      </c>
      <c r="AK420" s="8"/>
      <c r="AL420" s="8"/>
      <c r="AM420" s="8"/>
      <c r="AN420" s="8"/>
      <c r="AO420" s="8"/>
      <c r="AP420" s="8"/>
      <c r="AQ420" s="8">
        <v>3</v>
      </c>
      <c r="AR420" s="8"/>
      <c r="AS420" s="8"/>
      <c r="AT420" s="8"/>
      <c r="AU420" s="8">
        <v>1</v>
      </c>
      <c r="AV420" s="8"/>
      <c r="AW420" s="8"/>
      <c r="AX420" s="8"/>
      <c r="AY420" s="8"/>
      <c r="AZ420" s="8">
        <v>4</v>
      </c>
      <c r="BA420" s="8"/>
      <c r="BB420" s="8"/>
      <c r="BC420" s="8"/>
      <c r="BD420" s="8">
        <v>1</v>
      </c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</row>
    <row r="421" spans="1:76" ht="16.5" customHeight="1" x14ac:dyDescent="0.3">
      <c r="A421" t="s">
        <v>724</v>
      </c>
      <c r="B421" t="s">
        <v>656</v>
      </c>
      <c r="C421" t="s">
        <v>785</v>
      </c>
      <c r="D421" t="s">
        <v>794</v>
      </c>
      <c r="E421" t="s">
        <v>735</v>
      </c>
      <c r="F421" t="s">
        <v>735</v>
      </c>
      <c r="G421" s="5">
        <v>1495241</v>
      </c>
      <c r="H421" s="7" t="s">
        <v>292</v>
      </c>
      <c r="I421" s="5" t="s">
        <v>253</v>
      </c>
      <c r="J421" s="5">
        <v>2</v>
      </c>
      <c r="K421" s="5" t="s">
        <v>102</v>
      </c>
      <c r="L421" s="5" t="s">
        <v>109</v>
      </c>
      <c r="M421" s="5" t="s">
        <v>94</v>
      </c>
      <c r="N421" s="5" t="s">
        <v>285</v>
      </c>
      <c r="O421" s="4"/>
      <c r="P421" s="24">
        <f t="shared" si="96"/>
        <v>12</v>
      </c>
      <c r="Q421" s="8">
        <f t="shared" si="97"/>
        <v>0</v>
      </c>
      <c r="R421" s="8">
        <f t="shared" si="98"/>
        <v>12</v>
      </c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>
        <v>1</v>
      </c>
      <c r="AK421" s="8"/>
      <c r="AL421" s="8"/>
      <c r="AM421" s="8"/>
      <c r="AN421" s="8"/>
      <c r="AO421" s="8"/>
      <c r="AP421" s="8"/>
      <c r="AQ421" s="8">
        <v>4</v>
      </c>
      <c r="AR421" s="8"/>
      <c r="AS421" s="8"/>
      <c r="AT421" s="8"/>
      <c r="AU421" s="8"/>
      <c r="AV421" s="8"/>
      <c r="AW421" s="8"/>
      <c r="AX421" s="8"/>
      <c r="AY421" s="8"/>
      <c r="AZ421" s="8">
        <v>3</v>
      </c>
      <c r="BA421" s="8"/>
      <c r="BB421" s="8"/>
      <c r="BC421" s="8"/>
      <c r="BD421" s="8">
        <v>2</v>
      </c>
      <c r="BE421" s="8">
        <v>1</v>
      </c>
      <c r="BF421" s="8"/>
      <c r="BG421" s="8"/>
      <c r="BH421" s="8">
        <v>1</v>
      </c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</row>
    <row r="422" spans="1:76" ht="16.5" customHeight="1" x14ac:dyDescent="0.3">
      <c r="A422" t="s">
        <v>724</v>
      </c>
      <c r="B422" t="s">
        <v>656</v>
      </c>
      <c r="C422" t="s">
        <v>785</v>
      </c>
      <c r="D422" t="s">
        <v>794</v>
      </c>
      <c r="E422" t="s">
        <v>736</v>
      </c>
      <c r="F422" t="s">
        <v>736</v>
      </c>
      <c r="G422" s="5">
        <v>1495261</v>
      </c>
      <c r="H422" s="7" t="s">
        <v>327</v>
      </c>
      <c r="I422" s="5" t="s">
        <v>253</v>
      </c>
      <c r="J422" s="5">
        <v>2</v>
      </c>
      <c r="K422" s="5" t="s">
        <v>102</v>
      </c>
      <c r="L422" s="5" t="s">
        <v>109</v>
      </c>
      <c r="M422" s="5" t="s">
        <v>94</v>
      </c>
      <c r="N422" s="5" t="s">
        <v>285</v>
      </c>
      <c r="O422" s="4"/>
      <c r="P422" s="24">
        <f t="shared" si="96"/>
        <v>10</v>
      </c>
      <c r="Q422" s="8">
        <f t="shared" si="97"/>
        <v>0</v>
      </c>
      <c r="R422" s="8">
        <f t="shared" si="98"/>
        <v>10</v>
      </c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>
        <v>1</v>
      </c>
      <c r="AN422" s="8"/>
      <c r="AO422" s="8"/>
      <c r="AP422" s="8"/>
      <c r="AQ422" s="8">
        <v>2</v>
      </c>
      <c r="AR422" s="8"/>
      <c r="AS422" s="8"/>
      <c r="AT422" s="8"/>
      <c r="AU422" s="8">
        <v>1</v>
      </c>
      <c r="AV422" s="8"/>
      <c r="AW422" s="8"/>
      <c r="AX422" s="8"/>
      <c r="AY422" s="8"/>
      <c r="AZ422" s="8">
        <v>3</v>
      </c>
      <c r="BA422" s="8"/>
      <c r="BB422" s="8"/>
      <c r="BC422" s="8"/>
      <c r="BD422" s="8">
        <v>1</v>
      </c>
      <c r="BE422" s="8">
        <v>1</v>
      </c>
      <c r="BF422" s="8"/>
      <c r="BG422" s="8"/>
      <c r="BH422" s="8">
        <v>1</v>
      </c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</row>
    <row r="423" spans="1:76" ht="16.5" customHeight="1" x14ac:dyDescent="0.3">
      <c r="G423" s="14">
        <v>1494340</v>
      </c>
      <c r="H423" s="15" t="s">
        <v>435</v>
      </c>
      <c r="I423" s="14" t="s">
        <v>253</v>
      </c>
      <c r="J423" s="14">
        <v>2</v>
      </c>
      <c r="K423" s="14" t="s">
        <v>254</v>
      </c>
      <c r="L423" s="14" t="s">
        <v>255</v>
      </c>
      <c r="M423" s="14" t="s">
        <v>94</v>
      </c>
      <c r="N423" s="14" t="s">
        <v>110</v>
      </c>
      <c r="O423" s="13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</row>
    <row r="424" spans="1:76" ht="16.5" customHeight="1" x14ac:dyDescent="0.3">
      <c r="A424" t="s">
        <v>724</v>
      </c>
      <c r="B424" t="s">
        <v>656</v>
      </c>
      <c r="C424" t="s">
        <v>785</v>
      </c>
      <c r="D424" t="s">
        <v>797</v>
      </c>
      <c r="E424" t="s">
        <v>797</v>
      </c>
      <c r="F424" t="s">
        <v>797</v>
      </c>
      <c r="G424" s="5">
        <v>1494340</v>
      </c>
      <c r="H424" s="38" t="s">
        <v>436</v>
      </c>
      <c r="I424" s="5" t="s">
        <v>253</v>
      </c>
      <c r="J424" s="5">
        <v>2</v>
      </c>
      <c r="K424" s="5" t="s">
        <v>254</v>
      </c>
      <c r="L424" s="5" t="s">
        <v>255</v>
      </c>
      <c r="M424" s="5" t="s">
        <v>94</v>
      </c>
      <c r="N424" s="5" t="s">
        <v>110</v>
      </c>
      <c r="O424" s="4"/>
      <c r="P424" s="24">
        <f t="shared" ref="P424:P431" si="99">SUM(Q424,R424)</f>
        <v>1</v>
      </c>
      <c r="Q424" s="8">
        <f t="shared" ref="Q424:Q431" si="100">S424</f>
        <v>0</v>
      </c>
      <c r="R424" s="8">
        <f t="shared" ref="R424:R431" si="101">SUM(T424:BX424)</f>
        <v>1</v>
      </c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>
        <v>1</v>
      </c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</row>
    <row r="425" spans="1:76" ht="16.5" customHeight="1" x14ac:dyDescent="0.3">
      <c r="A425" t="s">
        <v>724</v>
      </c>
      <c r="B425" t="s">
        <v>656</v>
      </c>
      <c r="C425" t="s">
        <v>785</v>
      </c>
      <c r="D425" t="s">
        <v>797</v>
      </c>
      <c r="E425" t="s">
        <v>798</v>
      </c>
      <c r="F425" t="s">
        <v>798</v>
      </c>
      <c r="G425" s="5">
        <v>1494341</v>
      </c>
      <c r="H425" s="7" t="s">
        <v>437</v>
      </c>
      <c r="I425" s="5" t="s">
        <v>253</v>
      </c>
      <c r="J425" s="5">
        <v>2</v>
      </c>
      <c r="K425" s="5" t="s">
        <v>102</v>
      </c>
      <c r="L425" s="5" t="s">
        <v>109</v>
      </c>
      <c r="M425" s="5" t="s">
        <v>94</v>
      </c>
      <c r="N425" s="5" t="s">
        <v>283</v>
      </c>
      <c r="O425" s="4"/>
      <c r="P425" s="24">
        <f t="shared" si="99"/>
        <v>29</v>
      </c>
      <c r="Q425" s="8">
        <f t="shared" si="100"/>
        <v>0</v>
      </c>
      <c r="R425" s="8">
        <f t="shared" si="101"/>
        <v>29</v>
      </c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>
        <v>1</v>
      </c>
      <c r="AK425" s="8"/>
      <c r="AL425" s="8"/>
      <c r="AM425" s="8"/>
      <c r="AN425" s="8">
        <v>1</v>
      </c>
      <c r="AO425" s="8"/>
      <c r="AP425" s="8">
        <v>3</v>
      </c>
      <c r="AQ425" s="8"/>
      <c r="AR425" s="8"/>
      <c r="AS425" s="8"/>
      <c r="AT425" s="8"/>
      <c r="AU425" s="8"/>
      <c r="AV425" s="8"/>
      <c r="AW425" s="8">
        <v>2</v>
      </c>
      <c r="AX425" s="8"/>
      <c r="AY425" s="8">
        <v>4</v>
      </c>
      <c r="AZ425" s="8">
        <v>1</v>
      </c>
      <c r="BA425" s="8"/>
      <c r="BB425" s="8"/>
      <c r="BC425" s="8"/>
      <c r="BD425" s="8"/>
      <c r="BE425" s="8"/>
      <c r="BF425" s="8"/>
      <c r="BG425" s="8"/>
      <c r="BH425" s="8"/>
      <c r="BI425" s="8"/>
      <c r="BJ425" s="8">
        <v>7</v>
      </c>
      <c r="BK425" s="8"/>
      <c r="BL425" s="8">
        <v>1</v>
      </c>
      <c r="BM425" s="8"/>
      <c r="BN425" s="8"/>
      <c r="BO425" s="8"/>
      <c r="BP425" s="8"/>
      <c r="BQ425" s="8">
        <v>6</v>
      </c>
      <c r="BR425" s="8"/>
      <c r="BS425" s="8">
        <v>3</v>
      </c>
      <c r="BT425" s="8"/>
      <c r="BU425" s="8"/>
      <c r="BV425" s="8"/>
      <c r="BW425" s="8"/>
      <c r="BX425" s="8"/>
    </row>
    <row r="426" spans="1:76" ht="16.5" customHeight="1" x14ac:dyDescent="0.3">
      <c r="A426" t="s">
        <v>724</v>
      </c>
      <c r="B426" t="s">
        <v>656</v>
      </c>
      <c r="C426" t="s">
        <v>785</v>
      </c>
      <c r="D426" t="s">
        <v>797</v>
      </c>
      <c r="E426" t="s">
        <v>799</v>
      </c>
      <c r="F426" t="s">
        <v>799</v>
      </c>
      <c r="G426" s="5">
        <v>1494342</v>
      </c>
      <c r="H426" s="7" t="s">
        <v>438</v>
      </c>
      <c r="I426" s="5" t="s">
        <v>253</v>
      </c>
      <c r="J426" s="5">
        <v>2</v>
      </c>
      <c r="K426" s="5" t="s">
        <v>102</v>
      </c>
      <c r="L426" s="5" t="s">
        <v>109</v>
      </c>
      <c r="M426" s="5" t="s">
        <v>94</v>
      </c>
      <c r="N426" s="5" t="s">
        <v>283</v>
      </c>
      <c r="O426" s="4"/>
      <c r="P426" s="24">
        <f t="shared" si="99"/>
        <v>10</v>
      </c>
      <c r="Q426" s="8">
        <f t="shared" si="100"/>
        <v>0</v>
      </c>
      <c r="R426" s="8">
        <f t="shared" si="101"/>
        <v>10</v>
      </c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>
        <v>1</v>
      </c>
      <c r="AQ426" s="8"/>
      <c r="AR426" s="8"/>
      <c r="AS426" s="8"/>
      <c r="AT426" s="8"/>
      <c r="AU426" s="8"/>
      <c r="AV426" s="8"/>
      <c r="AW426" s="8"/>
      <c r="AX426" s="8"/>
      <c r="AY426" s="8">
        <v>2</v>
      </c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>
        <v>2</v>
      </c>
      <c r="BK426" s="8"/>
      <c r="BL426" s="8">
        <v>1</v>
      </c>
      <c r="BM426" s="8"/>
      <c r="BN426" s="8"/>
      <c r="BO426" s="8">
        <v>1</v>
      </c>
      <c r="BP426" s="8"/>
      <c r="BQ426" s="8">
        <v>1</v>
      </c>
      <c r="BR426" s="8"/>
      <c r="BS426" s="8">
        <v>2</v>
      </c>
      <c r="BT426" s="8"/>
      <c r="BU426" s="8"/>
      <c r="BV426" s="8"/>
      <c r="BW426" s="8"/>
      <c r="BX426" s="8"/>
    </row>
    <row r="427" spans="1:76" ht="16.5" customHeight="1" x14ac:dyDescent="0.3">
      <c r="A427" t="s">
        <v>724</v>
      </c>
      <c r="B427" t="s">
        <v>656</v>
      </c>
      <c r="C427" t="s">
        <v>785</v>
      </c>
      <c r="D427" t="s">
        <v>797</v>
      </c>
      <c r="E427" t="s">
        <v>665</v>
      </c>
      <c r="F427" t="s">
        <v>727</v>
      </c>
      <c r="G427" s="5">
        <v>1494860</v>
      </c>
      <c r="H427" s="7" t="s">
        <v>284</v>
      </c>
      <c r="I427" s="5" t="s">
        <v>253</v>
      </c>
      <c r="J427" s="5">
        <v>2</v>
      </c>
      <c r="K427" s="5" t="s">
        <v>102</v>
      </c>
      <c r="L427" s="5" t="s">
        <v>109</v>
      </c>
      <c r="M427" s="5" t="s">
        <v>94</v>
      </c>
      <c r="N427" s="5" t="s">
        <v>285</v>
      </c>
      <c r="O427" s="4"/>
      <c r="P427" s="24">
        <f t="shared" si="99"/>
        <v>13</v>
      </c>
      <c r="Q427" s="8">
        <f t="shared" si="100"/>
        <v>0</v>
      </c>
      <c r="R427" s="8">
        <f t="shared" si="101"/>
        <v>13</v>
      </c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>
        <v>1</v>
      </c>
      <c r="AK427" s="8"/>
      <c r="AL427" s="8"/>
      <c r="AM427" s="8"/>
      <c r="AN427" s="8">
        <v>1</v>
      </c>
      <c r="AO427" s="8"/>
      <c r="AP427" s="8">
        <v>1</v>
      </c>
      <c r="AQ427" s="8"/>
      <c r="AR427" s="8"/>
      <c r="AS427" s="8"/>
      <c r="AT427" s="8"/>
      <c r="AU427" s="8"/>
      <c r="AV427" s="8"/>
      <c r="AW427" s="8">
        <v>1</v>
      </c>
      <c r="AX427" s="8"/>
      <c r="AY427" s="8">
        <v>1</v>
      </c>
      <c r="AZ427" s="8"/>
      <c r="BA427" s="8"/>
      <c r="BB427" s="8"/>
      <c r="BC427" s="8"/>
      <c r="BD427" s="8"/>
      <c r="BE427" s="8"/>
      <c r="BF427" s="8"/>
      <c r="BG427" s="8"/>
      <c r="BH427" s="8">
        <v>1</v>
      </c>
      <c r="BI427" s="8"/>
      <c r="BJ427" s="8">
        <v>2</v>
      </c>
      <c r="BK427" s="8"/>
      <c r="BL427" s="8"/>
      <c r="BM427" s="8"/>
      <c r="BN427" s="8"/>
      <c r="BO427" s="8">
        <v>1</v>
      </c>
      <c r="BP427" s="8"/>
      <c r="BQ427" s="8"/>
      <c r="BR427" s="8"/>
      <c r="BS427" s="8">
        <v>2</v>
      </c>
      <c r="BT427" s="8"/>
      <c r="BU427" s="8">
        <v>1</v>
      </c>
      <c r="BV427" s="8">
        <v>1</v>
      </c>
      <c r="BW427" s="8"/>
      <c r="BX427" s="8"/>
    </row>
    <row r="428" spans="1:76" ht="16.5" customHeight="1" x14ac:dyDescent="0.3">
      <c r="A428" t="s">
        <v>724</v>
      </c>
      <c r="B428" t="s">
        <v>656</v>
      </c>
      <c r="C428" t="s">
        <v>785</v>
      </c>
      <c r="D428" t="s">
        <v>797</v>
      </c>
      <c r="E428" t="s">
        <v>747</v>
      </c>
      <c r="F428" t="s">
        <v>747</v>
      </c>
      <c r="G428" s="5">
        <v>1495089</v>
      </c>
      <c r="H428" s="7" t="s">
        <v>367</v>
      </c>
      <c r="I428" s="5" t="s">
        <v>253</v>
      </c>
      <c r="J428" s="5">
        <v>2</v>
      </c>
      <c r="K428" s="5" t="s">
        <v>102</v>
      </c>
      <c r="L428" s="5" t="s">
        <v>109</v>
      </c>
      <c r="M428" s="5" t="s">
        <v>94</v>
      </c>
      <c r="N428" s="5" t="s">
        <v>285</v>
      </c>
      <c r="O428" s="4"/>
      <c r="P428" s="24">
        <f t="shared" si="99"/>
        <v>21</v>
      </c>
      <c r="Q428" s="8">
        <f t="shared" si="100"/>
        <v>0</v>
      </c>
      <c r="R428" s="8">
        <f t="shared" si="101"/>
        <v>21</v>
      </c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>
        <v>1</v>
      </c>
      <c r="AJ428" s="8"/>
      <c r="AK428" s="8"/>
      <c r="AL428" s="8"/>
      <c r="AM428" s="8"/>
      <c r="AN428" s="8">
        <v>8</v>
      </c>
      <c r="AO428" s="8"/>
      <c r="AP428" s="8"/>
      <c r="AQ428" s="8"/>
      <c r="AR428" s="8"/>
      <c r="AS428" s="8"/>
      <c r="AT428" s="8"/>
      <c r="AU428" s="8"/>
      <c r="AV428" s="8"/>
      <c r="AW428" s="8">
        <v>9</v>
      </c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>
        <v>2</v>
      </c>
      <c r="BI428" s="8"/>
      <c r="BJ428" s="8"/>
      <c r="BK428" s="8"/>
      <c r="BL428" s="8"/>
      <c r="BM428" s="8"/>
      <c r="BN428" s="8"/>
      <c r="BO428" s="8">
        <v>1</v>
      </c>
      <c r="BP428" s="8"/>
      <c r="BQ428" s="8"/>
      <c r="BR428" s="8"/>
      <c r="BS428" s="8"/>
      <c r="BT428" s="8"/>
      <c r="BU428" s="8"/>
      <c r="BV428" s="8"/>
      <c r="BW428" s="8"/>
      <c r="BX428" s="8"/>
    </row>
    <row r="429" spans="1:76" ht="16.5" customHeight="1" x14ac:dyDescent="0.3">
      <c r="A429" t="s">
        <v>724</v>
      </c>
      <c r="B429" t="s">
        <v>656</v>
      </c>
      <c r="C429" t="s">
        <v>785</v>
      </c>
      <c r="D429" t="s">
        <v>797</v>
      </c>
      <c r="E429" t="s">
        <v>741</v>
      </c>
      <c r="F429" t="s">
        <v>741</v>
      </c>
      <c r="G429" s="5">
        <v>1495118</v>
      </c>
      <c r="H429" s="7" t="s">
        <v>291</v>
      </c>
      <c r="I429" s="5" t="s">
        <v>253</v>
      </c>
      <c r="J429" s="5">
        <v>2</v>
      </c>
      <c r="K429" s="5" t="s">
        <v>102</v>
      </c>
      <c r="L429" s="5" t="s">
        <v>109</v>
      </c>
      <c r="M429" s="5" t="s">
        <v>94</v>
      </c>
      <c r="N429" s="5" t="s">
        <v>285</v>
      </c>
      <c r="O429" s="4"/>
      <c r="P429" s="24">
        <f t="shared" si="99"/>
        <v>10</v>
      </c>
      <c r="Q429" s="8">
        <f t="shared" si="100"/>
        <v>0</v>
      </c>
      <c r="R429" s="8">
        <f t="shared" si="101"/>
        <v>10</v>
      </c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>
        <v>1</v>
      </c>
      <c r="AJ429" s="8"/>
      <c r="AK429" s="8"/>
      <c r="AL429" s="8"/>
      <c r="AM429" s="8"/>
      <c r="AN429" s="8">
        <v>3</v>
      </c>
      <c r="AO429" s="8"/>
      <c r="AP429" s="8"/>
      <c r="AQ429" s="8"/>
      <c r="AR429" s="8"/>
      <c r="AS429" s="8"/>
      <c r="AT429" s="8"/>
      <c r="AU429" s="8"/>
      <c r="AV429" s="8"/>
      <c r="AW429" s="8">
        <v>4</v>
      </c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>
        <v>2</v>
      </c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</row>
    <row r="430" spans="1:76" ht="16.5" customHeight="1" x14ac:dyDescent="0.3">
      <c r="A430" t="s">
        <v>724</v>
      </c>
      <c r="B430" t="s">
        <v>656</v>
      </c>
      <c r="C430" t="s">
        <v>785</v>
      </c>
      <c r="D430" t="s">
        <v>797</v>
      </c>
      <c r="E430" t="s">
        <v>734</v>
      </c>
      <c r="F430" t="s">
        <v>734</v>
      </c>
      <c r="G430" s="5">
        <v>1495154</v>
      </c>
      <c r="H430" s="7" t="s">
        <v>297</v>
      </c>
      <c r="I430" s="5" t="s">
        <v>253</v>
      </c>
      <c r="J430" s="5">
        <v>2</v>
      </c>
      <c r="K430" s="5" t="s">
        <v>102</v>
      </c>
      <c r="L430" s="5" t="s">
        <v>109</v>
      </c>
      <c r="M430" s="5" t="s">
        <v>94</v>
      </c>
      <c r="N430" s="5" t="s">
        <v>285</v>
      </c>
      <c r="O430" s="4"/>
      <c r="P430" s="24">
        <f t="shared" si="99"/>
        <v>5</v>
      </c>
      <c r="Q430" s="8">
        <f t="shared" si="100"/>
        <v>0</v>
      </c>
      <c r="R430" s="8">
        <f t="shared" si="101"/>
        <v>5</v>
      </c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>
        <v>1</v>
      </c>
      <c r="AL430" s="8"/>
      <c r="AM430" s="8"/>
      <c r="AN430" s="8"/>
      <c r="AO430" s="8"/>
      <c r="AP430" s="8"/>
      <c r="AQ430" s="8">
        <v>2</v>
      </c>
      <c r="AR430" s="8"/>
      <c r="AS430" s="8"/>
      <c r="AT430" s="8"/>
      <c r="AU430" s="8"/>
      <c r="AV430" s="8"/>
      <c r="AW430" s="8"/>
      <c r="AX430" s="8"/>
      <c r="AY430" s="8"/>
      <c r="AZ430" s="8">
        <v>2</v>
      </c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</row>
    <row r="431" spans="1:76" ht="16.5" customHeight="1" x14ac:dyDescent="0.3">
      <c r="A431" t="s">
        <v>724</v>
      </c>
      <c r="B431" t="s">
        <v>656</v>
      </c>
      <c r="C431" t="s">
        <v>785</v>
      </c>
      <c r="D431" t="s">
        <v>797</v>
      </c>
      <c r="E431" t="s">
        <v>735</v>
      </c>
      <c r="F431" t="s">
        <v>735</v>
      </c>
      <c r="G431" s="5">
        <v>1495186</v>
      </c>
      <c r="H431" s="7" t="s">
        <v>292</v>
      </c>
      <c r="I431" s="5" t="s">
        <v>253</v>
      </c>
      <c r="J431" s="5">
        <v>2</v>
      </c>
      <c r="K431" s="5" t="s">
        <v>102</v>
      </c>
      <c r="L431" s="5" t="s">
        <v>109</v>
      </c>
      <c r="M431" s="5" t="s">
        <v>94</v>
      </c>
      <c r="N431" s="5" t="s">
        <v>285</v>
      </c>
      <c r="O431" s="4"/>
      <c r="P431" s="24">
        <f t="shared" si="99"/>
        <v>14</v>
      </c>
      <c r="Q431" s="8">
        <f t="shared" si="100"/>
        <v>0</v>
      </c>
      <c r="R431" s="8">
        <f t="shared" si="101"/>
        <v>14</v>
      </c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>
        <v>1</v>
      </c>
      <c r="AK431" s="8"/>
      <c r="AL431" s="8"/>
      <c r="AM431" s="8"/>
      <c r="AN431" s="8"/>
      <c r="AO431" s="8"/>
      <c r="AP431" s="8"/>
      <c r="AQ431" s="8">
        <v>2</v>
      </c>
      <c r="AR431" s="8"/>
      <c r="AS431" s="8"/>
      <c r="AT431" s="8"/>
      <c r="AU431" s="8">
        <v>1</v>
      </c>
      <c r="AV431" s="8"/>
      <c r="AW431" s="8"/>
      <c r="AX431" s="8"/>
      <c r="AY431" s="8"/>
      <c r="AZ431" s="8">
        <v>4</v>
      </c>
      <c r="BA431" s="8"/>
      <c r="BB431" s="8"/>
      <c r="BC431" s="8"/>
      <c r="BD431" s="8">
        <v>3</v>
      </c>
      <c r="BE431" s="8">
        <v>1</v>
      </c>
      <c r="BF431" s="8"/>
      <c r="BG431" s="8"/>
      <c r="BH431" s="8">
        <v>2</v>
      </c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</row>
    <row r="432" spans="1:76" ht="16.5" customHeight="1" x14ac:dyDescent="0.3">
      <c r="G432" s="14">
        <v>1494347</v>
      </c>
      <c r="H432" s="15" t="s">
        <v>439</v>
      </c>
      <c r="I432" s="14" t="s">
        <v>253</v>
      </c>
      <c r="J432" s="14">
        <v>2</v>
      </c>
      <c r="K432" s="14" t="s">
        <v>254</v>
      </c>
      <c r="L432" s="14" t="s">
        <v>255</v>
      </c>
      <c r="M432" s="14" t="s">
        <v>94</v>
      </c>
      <c r="N432" s="14" t="s">
        <v>261</v>
      </c>
      <c r="O432" s="13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</row>
    <row r="433" spans="1:76" ht="16.5" customHeight="1" x14ac:dyDescent="0.3">
      <c r="A433" t="s">
        <v>724</v>
      </c>
      <c r="B433" t="s">
        <v>656</v>
      </c>
      <c r="C433" t="s">
        <v>785</v>
      </c>
      <c r="D433" t="s">
        <v>800</v>
      </c>
      <c r="E433" t="s">
        <v>800</v>
      </c>
      <c r="F433" t="s">
        <v>800</v>
      </c>
      <c r="G433" s="5">
        <v>1494347</v>
      </c>
      <c r="H433" s="38" t="s">
        <v>440</v>
      </c>
      <c r="I433" s="5" t="s">
        <v>253</v>
      </c>
      <c r="J433" s="5">
        <v>2</v>
      </c>
      <c r="K433" s="5" t="s">
        <v>254</v>
      </c>
      <c r="L433" s="5" t="s">
        <v>255</v>
      </c>
      <c r="M433" s="5" t="s">
        <v>94</v>
      </c>
      <c r="N433" s="5" t="s">
        <v>261</v>
      </c>
      <c r="O433" s="4"/>
      <c r="P433" s="24">
        <f t="shared" ref="P433:P438" si="102">SUM(Q433,R433)</f>
        <v>1</v>
      </c>
      <c r="Q433" s="8">
        <f t="shared" ref="Q433:Q438" si="103">S433</f>
        <v>0</v>
      </c>
      <c r="R433" s="8">
        <f t="shared" ref="R433:R438" si="104">SUM(T433:BX433)</f>
        <v>1</v>
      </c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>
        <v>1</v>
      </c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</row>
    <row r="434" spans="1:76" ht="16.5" customHeight="1" x14ac:dyDescent="0.3">
      <c r="A434" t="s">
        <v>724</v>
      </c>
      <c r="B434" t="s">
        <v>656</v>
      </c>
      <c r="C434" t="s">
        <v>785</v>
      </c>
      <c r="D434" t="s">
        <v>800</v>
      </c>
      <c r="E434" t="s">
        <v>801</v>
      </c>
      <c r="F434" t="s">
        <v>801</v>
      </c>
      <c r="G434" s="5">
        <v>1494348</v>
      </c>
      <c r="H434" s="7" t="s">
        <v>441</v>
      </c>
      <c r="I434" s="5" t="s">
        <v>253</v>
      </c>
      <c r="J434" s="5">
        <v>2</v>
      </c>
      <c r="K434" s="5" t="s">
        <v>102</v>
      </c>
      <c r="L434" s="5" t="s">
        <v>109</v>
      </c>
      <c r="M434" s="5" t="s">
        <v>94</v>
      </c>
      <c r="N434" s="5" t="s">
        <v>283</v>
      </c>
      <c r="O434" s="4"/>
      <c r="P434" s="24">
        <f t="shared" si="102"/>
        <v>12</v>
      </c>
      <c r="Q434" s="8">
        <f t="shared" si="103"/>
        <v>0</v>
      </c>
      <c r="R434" s="8">
        <f t="shared" si="104"/>
        <v>12</v>
      </c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>
        <v>1</v>
      </c>
      <c r="AQ434" s="8"/>
      <c r="AR434" s="8"/>
      <c r="AS434" s="8"/>
      <c r="AT434" s="8"/>
      <c r="AU434" s="8"/>
      <c r="AV434" s="8"/>
      <c r="AW434" s="8">
        <v>1</v>
      </c>
      <c r="AX434" s="8"/>
      <c r="AY434" s="8">
        <v>2</v>
      </c>
      <c r="AZ434" s="8"/>
      <c r="BA434" s="8"/>
      <c r="BB434" s="8"/>
      <c r="BC434" s="8"/>
      <c r="BD434" s="8"/>
      <c r="BE434" s="8"/>
      <c r="BF434" s="8"/>
      <c r="BG434" s="8"/>
      <c r="BH434" s="8">
        <v>1</v>
      </c>
      <c r="BI434" s="8"/>
      <c r="BJ434" s="8">
        <v>3</v>
      </c>
      <c r="BK434" s="8"/>
      <c r="BL434" s="8"/>
      <c r="BM434" s="8"/>
      <c r="BN434" s="8"/>
      <c r="BO434" s="8"/>
      <c r="BP434" s="8"/>
      <c r="BQ434" s="8">
        <v>3</v>
      </c>
      <c r="BR434" s="8"/>
      <c r="BS434" s="8">
        <v>1</v>
      </c>
      <c r="BT434" s="8"/>
      <c r="BU434" s="8"/>
      <c r="BV434" s="8"/>
      <c r="BW434" s="8"/>
      <c r="BX434" s="8"/>
    </row>
    <row r="435" spans="1:76" ht="16.5" customHeight="1" x14ac:dyDescent="0.3">
      <c r="A435" t="s">
        <v>724</v>
      </c>
      <c r="B435" t="s">
        <v>656</v>
      </c>
      <c r="C435" t="s">
        <v>785</v>
      </c>
      <c r="D435" t="s">
        <v>800</v>
      </c>
      <c r="E435" t="s">
        <v>802</v>
      </c>
      <c r="F435" t="s">
        <v>802</v>
      </c>
      <c r="G435" s="5">
        <v>1494349</v>
      </c>
      <c r="H435" s="7" t="s">
        <v>442</v>
      </c>
      <c r="I435" s="5" t="s">
        <v>253</v>
      </c>
      <c r="J435" s="5">
        <v>2</v>
      </c>
      <c r="K435" s="5" t="s">
        <v>102</v>
      </c>
      <c r="L435" s="5" t="s">
        <v>109</v>
      </c>
      <c r="M435" s="5" t="s">
        <v>94</v>
      </c>
      <c r="N435" s="5" t="s">
        <v>283</v>
      </c>
      <c r="O435" s="4"/>
      <c r="P435" s="24">
        <f t="shared" si="102"/>
        <v>7</v>
      </c>
      <c r="Q435" s="8">
        <f t="shared" si="103"/>
        <v>0</v>
      </c>
      <c r="R435" s="8">
        <f t="shared" si="104"/>
        <v>7</v>
      </c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>
        <v>1</v>
      </c>
      <c r="AQ435" s="8"/>
      <c r="AR435" s="8"/>
      <c r="AS435" s="8"/>
      <c r="AT435" s="8"/>
      <c r="AU435" s="8"/>
      <c r="AV435" s="8"/>
      <c r="AW435" s="8"/>
      <c r="AX435" s="8"/>
      <c r="AY435" s="8">
        <v>2</v>
      </c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>
        <v>1</v>
      </c>
      <c r="BK435" s="8"/>
      <c r="BL435" s="8"/>
      <c r="BM435" s="8"/>
      <c r="BN435" s="8"/>
      <c r="BO435" s="8"/>
      <c r="BP435" s="8"/>
      <c r="BQ435" s="8">
        <v>2</v>
      </c>
      <c r="BR435" s="8"/>
      <c r="BS435" s="8">
        <v>1</v>
      </c>
      <c r="BT435" s="8"/>
      <c r="BU435" s="8"/>
      <c r="BV435" s="8"/>
      <c r="BW435" s="8"/>
      <c r="BX435" s="8"/>
    </row>
    <row r="436" spans="1:76" ht="16.5" customHeight="1" x14ac:dyDescent="0.3">
      <c r="A436" t="s">
        <v>724</v>
      </c>
      <c r="B436" t="s">
        <v>656</v>
      </c>
      <c r="C436" t="s">
        <v>785</v>
      </c>
      <c r="D436" t="s">
        <v>800</v>
      </c>
      <c r="E436" t="s">
        <v>756</v>
      </c>
      <c r="F436" t="s">
        <v>756</v>
      </c>
      <c r="G436" s="5">
        <v>1494861</v>
      </c>
      <c r="H436" s="7" t="s">
        <v>379</v>
      </c>
      <c r="I436" s="5" t="s">
        <v>253</v>
      </c>
      <c r="J436" s="5">
        <v>2</v>
      </c>
      <c r="K436" s="5" t="s">
        <v>102</v>
      </c>
      <c r="L436" s="5" t="s">
        <v>109</v>
      </c>
      <c r="M436" s="5" t="s">
        <v>94</v>
      </c>
      <c r="N436" s="5" t="s">
        <v>380</v>
      </c>
      <c r="O436" s="4"/>
      <c r="P436" s="24">
        <f t="shared" si="102"/>
        <v>7</v>
      </c>
      <c r="Q436" s="8">
        <f t="shared" si="103"/>
        <v>0</v>
      </c>
      <c r="R436" s="8">
        <f t="shared" si="104"/>
        <v>7</v>
      </c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>
        <v>1</v>
      </c>
      <c r="AO436" s="8"/>
      <c r="AP436" s="8"/>
      <c r="AQ436" s="8"/>
      <c r="AR436" s="8"/>
      <c r="AS436" s="8"/>
      <c r="AT436" s="8"/>
      <c r="AU436" s="8"/>
      <c r="AV436" s="8"/>
      <c r="AW436" s="8">
        <v>1</v>
      </c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>
        <v>1</v>
      </c>
      <c r="BK436" s="8"/>
      <c r="BL436" s="8">
        <v>1</v>
      </c>
      <c r="BM436" s="8"/>
      <c r="BN436" s="8"/>
      <c r="BO436" s="8">
        <v>1</v>
      </c>
      <c r="BP436" s="8"/>
      <c r="BQ436" s="8"/>
      <c r="BR436" s="8"/>
      <c r="BS436" s="8">
        <v>1</v>
      </c>
      <c r="BT436" s="8"/>
      <c r="BU436" s="8"/>
      <c r="BV436" s="8">
        <v>1</v>
      </c>
      <c r="BW436" s="8"/>
      <c r="BX436" s="8"/>
    </row>
    <row r="437" spans="1:76" ht="16.5" customHeight="1" x14ac:dyDescent="0.3">
      <c r="A437" t="s">
        <v>724</v>
      </c>
      <c r="B437" t="s">
        <v>656</v>
      </c>
      <c r="C437" t="s">
        <v>785</v>
      </c>
      <c r="D437" t="s">
        <v>800</v>
      </c>
      <c r="E437" t="s">
        <v>757</v>
      </c>
      <c r="F437" t="s">
        <v>757</v>
      </c>
      <c r="G437" s="5">
        <v>1495091</v>
      </c>
      <c r="H437" s="7" t="s">
        <v>381</v>
      </c>
      <c r="I437" s="5" t="s">
        <v>253</v>
      </c>
      <c r="J437" s="5">
        <v>2</v>
      </c>
      <c r="K437" s="5" t="s">
        <v>102</v>
      </c>
      <c r="L437" s="5" t="s">
        <v>109</v>
      </c>
      <c r="M437" s="5" t="s">
        <v>94</v>
      </c>
      <c r="N437" s="5" t="s">
        <v>380</v>
      </c>
      <c r="O437" s="4"/>
      <c r="P437" s="24">
        <f t="shared" si="102"/>
        <v>16</v>
      </c>
      <c r="Q437" s="8">
        <f t="shared" si="103"/>
        <v>0</v>
      </c>
      <c r="R437" s="8">
        <f t="shared" si="104"/>
        <v>16</v>
      </c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>
        <v>4</v>
      </c>
      <c r="AO437" s="8"/>
      <c r="AP437" s="8"/>
      <c r="AQ437" s="8">
        <v>1</v>
      </c>
      <c r="AR437" s="8"/>
      <c r="AS437" s="8"/>
      <c r="AT437" s="8"/>
      <c r="AU437" s="8"/>
      <c r="AV437" s="8"/>
      <c r="AW437" s="8">
        <v>6</v>
      </c>
      <c r="AX437" s="8"/>
      <c r="AY437" s="8"/>
      <c r="AZ437" s="8">
        <v>1</v>
      </c>
      <c r="BA437" s="8"/>
      <c r="BB437" s="8"/>
      <c r="BC437" s="8"/>
      <c r="BD437" s="8"/>
      <c r="BE437" s="8"/>
      <c r="BF437" s="8"/>
      <c r="BG437" s="8"/>
      <c r="BH437" s="8">
        <v>3</v>
      </c>
      <c r="BI437" s="8"/>
      <c r="BJ437" s="8"/>
      <c r="BK437" s="8"/>
      <c r="BL437" s="8"/>
      <c r="BM437" s="8"/>
      <c r="BN437" s="8"/>
      <c r="BO437" s="8">
        <v>1</v>
      </c>
      <c r="BP437" s="8"/>
      <c r="BQ437" s="8"/>
      <c r="BR437" s="8"/>
      <c r="BS437" s="8"/>
      <c r="BT437" s="8"/>
      <c r="BU437" s="8"/>
      <c r="BV437" s="8"/>
      <c r="BW437" s="8"/>
      <c r="BX437" s="8"/>
    </row>
    <row r="438" spans="1:76" ht="16.5" customHeight="1" x14ac:dyDescent="0.3">
      <c r="A438" t="s">
        <v>724</v>
      </c>
      <c r="B438" t="s">
        <v>656</v>
      </c>
      <c r="C438" t="s">
        <v>785</v>
      </c>
      <c r="D438" t="s">
        <v>800</v>
      </c>
      <c r="E438" t="s">
        <v>758</v>
      </c>
      <c r="F438" t="s">
        <v>758</v>
      </c>
      <c r="G438" s="5">
        <v>1495120</v>
      </c>
      <c r="H438" s="7" t="s">
        <v>382</v>
      </c>
      <c r="I438" s="5" t="s">
        <v>253</v>
      </c>
      <c r="J438" s="5">
        <v>2</v>
      </c>
      <c r="K438" s="5" t="s">
        <v>102</v>
      </c>
      <c r="L438" s="5" t="s">
        <v>109</v>
      </c>
      <c r="M438" s="5" t="s">
        <v>94</v>
      </c>
      <c r="N438" s="5" t="s">
        <v>380</v>
      </c>
      <c r="O438" s="4"/>
      <c r="P438" s="24">
        <f t="shared" si="102"/>
        <v>11</v>
      </c>
      <c r="Q438" s="8">
        <f t="shared" si="103"/>
        <v>0</v>
      </c>
      <c r="R438" s="8">
        <f t="shared" si="104"/>
        <v>11</v>
      </c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>
        <v>2</v>
      </c>
      <c r="AR438" s="8"/>
      <c r="AS438" s="8"/>
      <c r="AT438" s="8"/>
      <c r="AU438" s="8">
        <v>1</v>
      </c>
      <c r="AV438" s="8">
        <v>1</v>
      </c>
      <c r="AW438" s="8"/>
      <c r="AX438" s="8"/>
      <c r="AY438" s="8"/>
      <c r="AZ438" s="8">
        <v>5</v>
      </c>
      <c r="BA438" s="8"/>
      <c r="BB438" s="8"/>
      <c r="BC438" s="8"/>
      <c r="BD438" s="8"/>
      <c r="BE438" s="8"/>
      <c r="BF438" s="8"/>
      <c r="BG438" s="8"/>
      <c r="BH438" s="8">
        <v>2</v>
      </c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</row>
    <row r="439" spans="1:76" ht="16.5" customHeight="1" x14ac:dyDescent="0.3">
      <c r="G439" s="14">
        <v>1494351</v>
      </c>
      <c r="H439" s="15" t="s">
        <v>443</v>
      </c>
      <c r="I439" s="14" t="s">
        <v>253</v>
      </c>
      <c r="J439" s="14">
        <v>2</v>
      </c>
      <c r="K439" s="14" t="s">
        <v>254</v>
      </c>
      <c r="L439" s="14" t="s">
        <v>255</v>
      </c>
      <c r="M439" s="14" t="s">
        <v>94</v>
      </c>
      <c r="N439" s="14" t="s">
        <v>261</v>
      </c>
      <c r="O439" s="13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</row>
    <row r="440" spans="1:76" ht="16.5" customHeight="1" x14ac:dyDescent="0.3">
      <c r="A440" t="s">
        <v>724</v>
      </c>
      <c r="B440" t="s">
        <v>656</v>
      </c>
      <c r="C440" t="s">
        <v>785</v>
      </c>
      <c r="D440" t="s">
        <v>803</v>
      </c>
      <c r="E440" t="s">
        <v>803</v>
      </c>
      <c r="F440" t="s">
        <v>803</v>
      </c>
      <c r="G440" s="5">
        <v>1494351</v>
      </c>
      <c r="H440" s="38" t="s">
        <v>444</v>
      </c>
      <c r="I440" s="5" t="s">
        <v>253</v>
      </c>
      <c r="J440" s="5">
        <v>2</v>
      </c>
      <c r="K440" s="5" t="s">
        <v>254</v>
      </c>
      <c r="L440" s="5" t="s">
        <v>255</v>
      </c>
      <c r="M440" s="5" t="s">
        <v>94</v>
      </c>
      <c r="N440" s="5" t="s">
        <v>261</v>
      </c>
      <c r="O440" s="4"/>
      <c r="P440" s="24">
        <f t="shared" ref="P440:P444" si="105">SUM(Q440,R440)</f>
        <v>1</v>
      </c>
      <c r="Q440" s="8">
        <f t="shared" ref="Q440:Q444" si="106">S440</f>
        <v>0</v>
      </c>
      <c r="R440" s="8">
        <f t="shared" ref="R440:R444" si="107">SUM(T440:BX440)</f>
        <v>1</v>
      </c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>
        <v>1</v>
      </c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</row>
    <row r="441" spans="1:76" ht="16.5" customHeight="1" x14ac:dyDescent="0.3">
      <c r="A441" t="s">
        <v>724</v>
      </c>
      <c r="B441" t="s">
        <v>656</v>
      </c>
      <c r="C441" t="s">
        <v>785</v>
      </c>
      <c r="D441" t="s">
        <v>803</v>
      </c>
      <c r="E441" t="s">
        <v>804</v>
      </c>
      <c r="F441" t="s">
        <v>804</v>
      </c>
      <c r="G441" s="5">
        <v>1494352</v>
      </c>
      <c r="H441" s="7" t="s">
        <v>445</v>
      </c>
      <c r="I441" s="5" t="s">
        <v>253</v>
      </c>
      <c r="J441" s="5">
        <v>2</v>
      </c>
      <c r="K441" s="5" t="s">
        <v>102</v>
      </c>
      <c r="L441" s="5" t="s">
        <v>109</v>
      </c>
      <c r="M441" s="5" t="s">
        <v>94</v>
      </c>
      <c r="N441" s="5" t="s">
        <v>283</v>
      </c>
      <c r="O441" s="4"/>
      <c r="P441" s="24">
        <f t="shared" si="105"/>
        <v>14</v>
      </c>
      <c r="Q441" s="8">
        <f t="shared" si="106"/>
        <v>0</v>
      </c>
      <c r="R441" s="8">
        <f t="shared" si="107"/>
        <v>14</v>
      </c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>
        <v>2</v>
      </c>
      <c r="AQ441" s="8"/>
      <c r="AR441" s="8"/>
      <c r="AS441" s="8"/>
      <c r="AT441" s="8"/>
      <c r="AU441" s="8"/>
      <c r="AV441" s="8"/>
      <c r="AW441" s="8">
        <v>1</v>
      </c>
      <c r="AX441" s="8"/>
      <c r="AY441" s="8">
        <v>3</v>
      </c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>
        <v>2</v>
      </c>
      <c r="BK441" s="8"/>
      <c r="BL441" s="8">
        <v>1</v>
      </c>
      <c r="BM441" s="8"/>
      <c r="BN441" s="8"/>
      <c r="BO441" s="8"/>
      <c r="BP441" s="8"/>
      <c r="BQ441" s="8">
        <v>3</v>
      </c>
      <c r="BR441" s="8"/>
      <c r="BS441" s="8">
        <v>2</v>
      </c>
      <c r="BT441" s="8"/>
      <c r="BU441" s="8"/>
      <c r="BV441" s="8"/>
      <c r="BW441" s="8"/>
      <c r="BX441" s="8"/>
    </row>
    <row r="442" spans="1:76" ht="16.5" customHeight="1" x14ac:dyDescent="0.3">
      <c r="A442" t="s">
        <v>724</v>
      </c>
      <c r="B442" t="s">
        <v>656</v>
      </c>
      <c r="C442" t="s">
        <v>785</v>
      </c>
      <c r="D442" t="s">
        <v>803</v>
      </c>
      <c r="E442" t="s">
        <v>756</v>
      </c>
      <c r="F442" t="s">
        <v>756</v>
      </c>
      <c r="G442" s="5">
        <v>1494862</v>
      </c>
      <c r="H442" s="7" t="s">
        <v>379</v>
      </c>
      <c r="I442" s="5" t="s">
        <v>253</v>
      </c>
      <c r="J442" s="5">
        <v>2</v>
      </c>
      <c r="K442" s="5" t="s">
        <v>102</v>
      </c>
      <c r="L442" s="5" t="s">
        <v>109</v>
      </c>
      <c r="M442" s="5" t="s">
        <v>94</v>
      </c>
      <c r="N442" s="5" t="s">
        <v>380</v>
      </c>
      <c r="O442" s="4"/>
      <c r="P442" s="24">
        <f t="shared" si="105"/>
        <v>9</v>
      </c>
      <c r="Q442" s="8">
        <f t="shared" si="106"/>
        <v>0</v>
      </c>
      <c r="R442" s="8">
        <f t="shared" si="107"/>
        <v>9</v>
      </c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>
        <v>1</v>
      </c>
      <c r="AO442" s="8"/>
      <c r="AP442" s="8"/>
      <c r="AQ442" s="8"/>
      <c r="AR442" s="8"/>
      <c r="AS442" s="8"/>
      <c r="AT442" s="8"/>
      <c r="AU442" s="8"/>
      <c r="AV442" s="8"/>
      <c r="AW442" s="8">
        <v>1</v>
      </c>
      <c r="AX442" s="8"/>
      <c r="AY442" s="8">
        <v>1</v>
      </c>
      <c r="AZ442" s="8"/>
      <c r="BA442" s="8"/>
      <c r="BB442" s="8"/>
      <c r="BC442" s="8"/>
      <c r="BD442" s="8"/>
      <c r="BE442" s="8"/>
      <c r="BF442" s="8"/>
      <c r="BG442" s="8"/>
      <c r="BH442" s="8">
        <v>1</v>
      </c>
      <c r="BI442" s="8"/>
      <c r="BJ442" s="8">
        <v>1</v>
      </c>
      <c r="BK442" s="8"/>
      <c r="BL442" s="8"/>
      <c r="BM442" s="8"/>
      <c r="BN442" s="8"/>
      <c r="BO442" s="8">
        <v>1</v>
      </c>
      <c r="BP442" s="8"/>
      <c r="BQ442" s="8"/>
      <c r="BR442" s="8"/>
      <c r="BS442" s="8">
        <v>1</v>
      </c>
      <c r="BT442" s="8"/>
      <c r="BU442" s="8">
        <v>1</v>
      </c>
      <c r="BV442" s="8">
        <v>1</v>
      </c>
      <c r="BW442" s="8"/>
      <c r="BX442" s="8"/>
    </row>
    <row r="443" spans="1:76" ht="16.5" customHeight="1" x14ac:dyDescent="0.3">
      <c r="A443" t="s">
        <v>724</v>
      </c>
      <c r="B443" t="s">
        <v>656</v>
      </c>
      <c r="C443" t="s">
        <v>785</v>
      </c>
      <c r="D443" t="s">
        <v>803</v>
      </c>
      <c r="E443" t="s">
        <v>757</v>
      </c>
      <c r="F443" t="s">
        <v>757</v>
      </c>
      <c r="G443" s="5">
        <v>1495073</v>
      </c>
      <c r="H443" s="7" t="s">
        <v>381</v>
      </c>
      <c r="I443" s="5" t="s">
        <v>253</v>
      </c>
      <c r="J443" s="5">
        <v>2</v>
      </c>
      <c r="K443" s="5" t="s">
        <v>102</v>
      </c>
      <c r="L443" s="5" t="s">
        <v>109</v>
      </c>
      <c r="M443" s="5" t="s">
        <v>94</v>
      </c>
      <c r="N443" s="5" t="s">
        <v>380</v>
      </c>
      <c r="O443" s="4"/>
      <c r="P443" s="24">
        <f t="shared" si="105"/>
        <v>14</v>
      </c>
      <c r="Q443" s="8">
        <f t="shared" si="106"/>
        <v>0</v>
      </c>
      <c r="R443" s="8">
        <f t="shared" si="107"/>
        <v>14</v>
      </c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>
        <v>3</v>
      </c>
      <c r="AO443" s="8"/>
      <c r="AP443" s="8"/>
      <c r="AQ443" s="8">
        <v>1</v>
      </c>
      <c r="AR443" s="8"/>
      <c r="AS443" s="8"/>
      <c r="AT443" s="8"/>
      <c r="AU443" s="8"/>
      <c r="AV443" s="8"/>
      <c r="AW443" s="8">
        <v>5</v>
      </c>
      <c r="AX443" s="8"/>
      <c r="AY443" s="8"/>
      <c r="AZ443" s="8">
        <v>1</v>
      </c>
      <c r="BA443" s="8"/>
      <c r="BB443" s="8"/>
      <c r="BC443" s="8"/>
      <c r="BD443" s="8"/>
      <c r="BE443" s="8"/>
      <c r="BF443" s="8"/>
      <c r="BG443" s="8"/>
      <c r="BH443" s="8">
        <v>3</v>
      </c>
      <c r="BI443" s="8"/>
      <c r="BJ443" s="8"/>
      <c r="BK443" s="8"/>
      <c r="BL443" s="8"/>
      <c r="BM443" s="8"/>
      <c r="BN443" s="8"/>
      <c r="BO443" s="8">
        <v>1</v>
      </c>
      <c r="BP443" s="8"/>
      <c r="BQ443" s="8"/>
      <c r="BR443" s="8"/>
      <c r="BS443" s="8"/>
      <c r="BT443" s="8"/>
      <c r="BU443" s="8"/>
      <c r="BV443" s="8"/>
      <c r="BW443" s="8"/>
      <c r="BX443" s="8"/>
    </row>
    <row r="444" spans="1:76" ht="16.5" customHeight="1" x14ac:dyDescent="0.3">
      <c r="A444" t="s">
        <v>724</v>
      </c>
      <c r="B444" t="s">
        <v>656</v>
      </c>
      <c r="C444" t="s">
        <v>785</v>
      </c>
      <c r="D444" t="s">
        <v>803</v>
      </c>
      <c r="E444" t="s">
        <v>758</v>
      </c>
      <c r="F444" t="s">
        <v>758</v>
      </c>
      <c r="G444" s="5">
        <v>1495090</v>
      </c>
      <c r="H444" s="7" t="s">
        <v>382</v>
      </c>
      <c r="I444" s="5" t="s">
        <v>253</v>
      </c>
      <c r="J444" s="5">
        <v>2</v>
      </c>
      <c r="K444" s="5" t="s">
        <v>102</v>
      </c>
      <c r="L444" s="5" t="s">
        <v>109</v>
      </c>
      <c r="M444" s="5" t="s">
        <v>94</v>
      </c>
      <c r="N444" s="5" t="s">
        <v>380</v>
      </c>
      <c r="O444" s="4"/>
      <c r="P444" s="24">
        <f t="shared" si="105"/>
        <v>8</v>
      </c>
      <c r="Q444" s="8">
        <f t="shared" si="106"/>
        <v>0</v>
      </c>
      <c r="R444" s="8">
        <f t="shared" si="107"/>
        <v>8</v>
      </c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>
        <v>2</v>
      </c>
      <c r="AR444" s="8"/>
      <c r="AS444" s="8"/>
      <c r="AT444" s="8"/>
      <c r="AU444" s="8"/>
      <c r="AV444" s="8">
        <v>1</v>
      </c>
      <c r="AW444" s="8"/>
      <c r="AX444" s="8"/>
      <c r="AY444" s="8"/>
      <c r="AZ444" s="8">
        <v>2</v>
      </c>
      <c r="BA444" s="8"/>
      <c r="BB444" s="8"/>
      <c r="BC444" s="8"/>
      <c r="BD444" s="8">
        <v>1</v>
      </c>
      <c r="BE444" s="8"/>
      <c r="BF444" s="8"/>
      <c r="BG444" s="8"/>
      <c r="BH444" s="8">
        <v>2</v>
      </c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</row>
    <row r="445" spans="1:76" ht="16.5" customHeight="1" x14ac:dyDescent="0.3">
      <c r="G445" s="10">
        <v>1494162</v>
      </c>
      <c r="H445" s="11" t="s">
        <v>446</v>
      </c>
      <c r="I445" s="10" t="s">
        <v>253</v>
      </c>
      <c r="J445" s="10">
        <v>1</v>
      </c>
      <c r="K445" s="10" t="s">
        <v>254</v>
      </c>
      <c r="L445" s="10" t="s">
        <v>255</v>
      </c>
      <c r="M445" s="10" t="s">
        <v>94</v>
      </c>
      <c r="N445" s="10" t="s">
        <v>116</v>
      </c>
      <c r="O445" s="9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</row>
    <row r="446" spans="1:76" ht="16.5" customHeight="1" x14ac:dyDescent="0.3">
      <c r="A446" t="s">
        <v>724</v>
      </c>
      <c r="B446" t="s">
        <v>656</v>
      </c>
      <c r="C446" t="s">
        <v>805</v>
      </c>
      <c r="D446" t="s">
        <v>805</v>
      </c>
      <c r="E446" t="s">
        <v>805</v>
      </c>
      <c r="F446" t="s">
        <v>805</v>
      </c>
      <c r="G446" s="5">
        <v>1494162</v>
      </c>
      <c r="H446" s="38" t="s">
        <v>447</v>
      </c>
      <c r="I446" s="5" t="s">
        <v>253</v>
      </c>
      <c r="J446" s="5">
        <v>1</v>
      </c>
      <c r="K446" s="5" t="s">
        <v>254</v>
      </c>
      <c r="L446" s="5" t="s">
        <v>255</v>
      </c>
      <c r="M446" s="5" t="s">
        <v>94</v>
      </c>
      <c r="N446" s="5" t="s">
        <v>116</v>
      </c>
      <c r="O446" s="4"/>
      <c r="P446" s="24">
        <f>SUM(Q446,R446)</f>
        <v>1</v>
      </c>
      <c r="Q446" s="8">
        <f>S446</f>
        <v>0</v>
      </c>
      <c r="R446" s="8">
        <f>SUM(T446:BX446)</f>
        <v>1</v>
      </c>
      <c r="S446" s="8"/>
      <c r="T446" s="8"/>
      <c r="U446" s="8"/>
      <c r="V446" s="8">
        <v>1</v>
      </c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</row>
    <row r="447" spans="1:76" ht="16.5" customHeight="1" x14ac:dyDescent="0.3">
      <c r="G447" s="14">
        <v>1494354</v>
      </c>
      <c r="H447" s="15" t="s">
        <v>448</v>
      </c>
      <c r="I447" s="14" t="s">
        <v>253</v>
      </c>
      <c r="J447" s="14">
        <v>1</v>
      </c>
      <c r="K447" s="14" t="s">
        <v>102</v>
      </c>
      <c r="L447" s="14" t="s">
        <v>109</v>
      </c>
      <c r="M447" s="14" t="s">
        <v>94</v>
      </c>
      <c r="N447" s="14" t="s">
        <v>258</v>
      </c>
      <c r="O447" s="13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</row>
    <row r="448" spans="1:76" ht="16.5" customHeight="1" x14ac:dyDescent="0.3">
      <c r="A448" t="s">
        <v>724</v>
      </c>
      <c r="B448" t="s">
        <v>656</v>
      </c>
      <c r="C448" t="s">
        <v>805</v>
      </c>
      <c r="D448" t="s">
        <v>805</v>
      </c>
      <c r="E448" t="s">
        <v>806</v>
      </c>
      <c r="F448" t="s">
        <v>806</v>
      </c>
      <c r="G448" s="5">
        <v>1494354</v>
      </c>
      <c r="H448" s="7" t="s">
        <v>449</v>
      </c>
      <c r="I448" s="5" t="s">
        <v>253</v>
      </c>
      <c r="J448" s="5">
        <v>1</v>
      </c>
      <c r="K448" s="5" t="s">
        <v>102</v>
      </c>
      <c r="L448" s="5" t="s">
        <v>109</v>
      </c>
      <c r="M448" s="5" t="s">
        <v>94</v>
      </c>
      <c r="N448" s="5" t="s">
        <v>258</v>
      </c>
      <c r="O448" s="4"/>
      <c r="P448" s="24">
        <f t="shared" ref="P448:P467" si="108">SUM(Q448,R448)</f>
        <v>1</v>
      </c>
      <c r="Q448" s="8">
        <f t="shared" ref="Q448:Q467" si="109">S448</f>
        <v>0</v>
      </c>
      <c r="R448" s="8">
        <f t="shared" ref="R448:R467" si="110">SUM(T448:BX448)</f>
        <v>1</v>
      </c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>
        <v>1</v>
      </c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</row>
    <row r="449" spans="1:76" ht="16.5" customHeight="1" x14ac:dyDescent="0.3">
      <c r="A449" t="s">
        <v>724</v>
      </c>
      <c r="B449" t="s">
        <v>656</v>
      </c>
      <c r="C449" t="s">
        <v>805</v>
      </c>
      <c r="D449" t="s">
        <v>805</v>
      </c>
      <c r="E449" t="s">
        <v>806</v>
      </c>
      <c r="F449" t="s">
        <v>659</v>
      </c>
      <c r="G449" s="5">
        <v>1492881</v>
      </c>
      <c r="H449" s="7" t="s">
        <v>260</v>
      </c>
      <c r="I449" s="5" t="s">
        <v>253</v>
      </c>
      <c r="J449" s="5">
        <v>1</v>
      </c>
      <c r="K449" s="5" t="s">
        <v>102</v>
      </c>
      <c r="L449" s="5" t="s">
        <v>109</v>
      </c>
      <c r="M449" s="5" t="s">
        <v>94</v>
      </c>
      <c r="N449" s="5" t="s">
        <v>261</v>
      </c>
      <c r="O449" s="4"/>
      <c r="P449" s="24">
        <f t="shared" si="108"/>
        <v>26</v>
      </c>
      <c r="Q449" s="8">
        <f t="shared" si="109"/>
        <v>0</v>
      </c>
      <c r="R449" s="8">
        <f t="shared" si="110"/>
        <v>26</v>
      </c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>
        <v>1</v>
      </c>
      <c r="AK449" s="8"/>
      <c r="AL449" s="8"/>
      <c r="AM449" s="8"/>
      <c r="AN449" s="8"/>
      <c r="AO449" s="8"/>
      <c r="AP449" s="8">
        <v>2</v>
      </c>
      <c r="AQ449" s="8"/>
      <c r="AR449" s="8"/>
      <c r="AS449" s="8"/>
      <c r="AT449" s="8"/>
      <c r="AU449" s="8"/>
      <c r="AV449" s="8"/>
      <c r="AW449" s="8"/>
      <c r="AX449" s="8"/>
      <c r="AY449" s="8">
        <v>4</v>
      </c>
      <c r="AZ449" s="8">
        <v>1</v>
      </c>
      <c r="BA449" s="8"/>
      <c r="BB449" s="8"/>
      <c r="BC449" s="8">
        <v>1</v>
      </c>
      <c r="BD449" s="8"/>
      <c r="BE449" s="8"/>
      <c r="BF449" s="8"/>
      <c r="BG449" s="8"/>
      <c r="BH449" s="8">
        <v>1</v>
      </c>
      <c r="BI449" s="8"/>
      <c r="BJ449" s="8">
        <v>5</v>
      </c>
      <c r="BK449" s="8"/>
      <c r="BL449" s="8">
        <v>2</v>
      </c>
      <c r="BM449" s="8"/>
      <c r="BN449" s="8"/>
      <c r="BO449" s="8"/>
      <c r="BP449" s="8"/>
      <c r="BQ449" s="8">
        <v>6</v>
      </c>
      <c r="BR449" s="8"/>
      <c r="BS449" s="8">
        <v>3</v>
      </c>
      <c r="BT449" s="8"/>
      <c r="BU449" s="8"/>
      <c r="BV449" s="8"/>
      <c r="BW449" s="8"/>
      <c r="BX449" s="8"/>
    </row>
    <row r="450" spans="1:76" ht="16.5" customHeight="1" x14ac:dyDescent="0.3">
      <c r="A450" t="s">
        <v>724</v>
      </c>
      <c r="B450" t="s">
        <v>656</v>
      </c>
      <c r="C450" t="s">
        <v>805</v>
      </c>
      <c r="D450" t="s">
        <v>805</v>
      </c>
      <c r="E450" t="s">
        <v>806</v>
      </c>
      <c r="F450" t="s">
        <v>660</v>
      </c>
      <c r="G450" s="5">
        <v>1494802</v>
      </c>
      <c r="H450" s="7" t="s">
        <v>262</v>
      </c>
      <c r="I450" s="5" t="s">
        <v>253</v>
      </c>
      <c r="J450" s="5">
        <v>1</v>
      </c>
      <c r="K450" s="5" t="s">
        <v>102</v>
      </c>
      <c r="L450" s="5" t="s">
        <v>109</v>
      </c>
      <c r="M450" s="5" t="s">
        <v>94</v>
      </c>
      <c r="N450" s="5" t="s">
        <v>261</v>
      </c>
      <c r="O450" s="4"/>
      <c r="P450" s="24">
        <f t="shared" si="108"/>
        <v>15</v>
      </c>
      <c r="Q450" s="8">
        <f t="shared" si="109"/>
        <v>0</v>
      </c>
      <c r="R450" s="8">
        <f t="shared" si="110"/>
        <v>15</v>
      </c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>
        <v>1</v>
      </c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>
        <v>1</v>
      </c>
      <c r="AX450" s="8"/>
      <c r="AY450" s="8">
        <v>3</v>
      </c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>
        <v>4</v>
      </c>
      <c r="BK450" s="8"/>
      <c r="BL450" s="8">
        <v>1</v>
      </c>
      <c r="BM450" s="8"/>
      <c r="BN450" s="8"/>
      <c r="BO450" s="8"/>
      <c r="BP450" s="8"/>
      <c r="BQ450" s="8">
        <v>1</v>
      </c>
      <c r="BR450" s="8"/>
      <c r="BS450" s="8">
        <v>4</v>
      </c>
      <c r="BT450" s="8"/>
      <c r="BU450" s="8"/>
      <c r="BV450" s="8"/>
      <c r="BW450" s="8"/>
      <c r="BX450" s="8"/>
    </row>
    <row r="451" spans="1:76" ht="16.5" customHeight="1" x14ac:dyDescent="0.3">
      <c r="A451" t="s">
        <v>724</v>
      </c>
      <c r="B451" t="s">
        <v>656</v>
      </c>
      <c r="C451" t="s">
        <v>805</v>
      </c>
      <c r="D451" t="s">
        <v>805</v>
      </c>
      <c r="E451" t="s">
        <v>806</v>
      </c>
      <c r="F451" t="s">
        <v>661</v>
      </c>
      <c r="G451" s="5">
        <v>1492991</v>
      </c>
      <c r="H451" s="7" t="s">
        <v>263</v>
      </c>
      <c r="I451" s="5" t="s">
        <v>253</v>
      </c>
      <c r="J451" s="5">
        <v>1</v>
      </c>
      <c r="K451" s="5" t="s">
        <v>102</v>
      </c>
      <c r="L451" s="5" t="s">
        <v>109</v>
      </c>
      <c r="M451" s="5" t="s">
        <v>94</v>
      </c>
      <c r="N451" s="5" t="s">
        <v>261</v>
      </c>
      <c r="O451" s="4"/>
      <c r="P451" s="24">
        <f t="shared" si="108"/>
        <v>22</v>
      </c>
      <c r="Q451" s="8">
        <f t="shared" si="109"/>
        <v>0</v>
      </c>
      <c r="R451" s="8">
        <f t="shared" si="110"/>
        <v>22</v>
      </c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>
        <v>1</v>
      </c>
      <c r="AK451" s="8"/>
      <c r="AL451" s="8"/>
      <c r="AM451" s="8"/>
      <c r="AN451" s="8"/>
      <c r="AO451" s="8"/>
      <c r="AP451" s="8">
        <v>2</v>
      </c>
      <c r="AQ451" s="8"/>
      <c r="AR451" s="8"/>
      <c r="AS451" s="8"/>
      <c r="AT451" s="8"/>
      <c r="AU451" s="8"/>
      <c r="AV451" s="8"/>
      <c r="AW451" s="8">
        <v>1</v>
      </c>
      <c r="AX451" s="8"/>
      <c r="AY451" s="8">
        <v>5</v>
      </c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>
        <v>6</v>
      </c>
      <c r="BK451" s="8"/>
      <c r="BL451" s="8">
        <v>1</v>
      </c>
      <c r="BM451" s="8"/>
      <c r="BN451" s="8"/>
      <c r="BO451" s="8"/>
      <c r="BP451" s="8"/>
      <c r="BQ451" s="8">
        <v>5</v>
      </c>
      <c r="BR451" s="8"/>
      <c r="BS451" s="8">
        <v>1</v>
      </c>
      <c r="BT451" s="8"/>
      <c r="BU451" s="8"/>
      <c r="BV451" s="8"/>
      <c r="BW451" s="8"/>
      <c r="BX451" s="8"/>
    </row>
    <row r="452" spans="1:76" ht="16.5" customHeight="1" x14ac:dyDescent="0.3">
      <c r="A452" t="s">
        <v>724</v>
      </c>
      <c r="B452" t="s">
        <v>656</v>
      </c>
      <c r="C452" t="s">
        <v>805</v>
      </c>
      <c r="D452" t="s">
        <v>805</v>
      </c>
      <c r="E452" t="s">
        <v>806</v>
      </c>
      <c r="F452" t="s">
        <v>662</v>
      </c>
      <c r="G452" s="5">
        <v>1494364</v>
      </c>
      <c r="H452" s="7" t="s">
        <v>264</v>
      </c>
      <c r="I452" s="5" t="s">
        <v>253</v>
      </c>
      <c r="J452" s="5">
        <v>1</v>
      </c>
      <c r="K452" s="5" t="s">
        <v>102</v>
      </c>
      <c r="L452" s="5" t="s">
        <v>109</v>
      </c>
      <c r="M452" s="5" t="s">
        <v>94</v>
      </c>
      <c r="N452" s="5" t="s">
        <v>261</v>
      </c>
      <c r="O452" s="4"/>
      <c r="P452" s="24">
        <f t="shared" si="108"/>
        <v>14</v>
      </c>
      <c r="Q452" s="8">
        <f t="shared" si="109"/>
        <v>0</v>
      </c>
      <c r="R452" s="8">
        <f t="shared" si="110"/>
        <v>14</v>
      </c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>
        <v>1</v>
      </c>
      <c r="AK452" s="8"/>
      <c r="AL452" s="8"/>
      <c r="AM452" s="8"/>
      <c r="AN452" s="8"/>
      <c r="AO452" s="8"/>
      <c r="AP452" s="8">
        <v>2</v>
      </c>
      <c r="AQ452" s="8"/>
      <c r="AR452" s="8"/>
      <c r="AS452" s="8"/>
      <c r="AT452" s="8"/>
      <c r="AU452" s="8"/>
      <c r="AV452" s="8"/>
      <c r="AW452" s="8">
        <v>1</v>
      </c>
      <c r="AX452" s="8"/>
      <c r="AY452" s="8">
        <v>2</v>
      </c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>
        <v>2</v>
      </c>
      <c r="BK452" s="8"/>
      <c r="BL452" s="8">
        <v>1</v>
      </c>
      <c r="BM452" s="8"/>
      <c r="BN452" s="8"/>
      <c r="BO452" s="8">
        <v>1</v>
      </c>
      <c r="BP452" s="8"/>
      <c r="BQ452" s="8">
        <v>3</v>
      </c>
      <c r="BR452" s="8"/>
      <c r="BS452" s="8">
        <v>1</v>
      </c>
      <c r="BT452" s="8"/>
      <c r="BU452" s="8"/>
      <c r="BV452" s="8"/>
      <c r="BW452" s="8"/>
      <c r="BX452" s="8"/>
    </row>
    <row r="453" spans="1:76" ht="16.5" customHeight="1" x14ac:dyDescent="0.3">
      <c r="A453" t="s">
        <v>724</v>
      </c>
      <c r="B453" t="s">
        <v>656</v>
      </c>
      <c r="C453" t="s">
        <v>805</v>
      </c>
      <c r="D453" t="s">
        <v>805</v>
      </c>
      <c r="E453" t="s">
        <v>806</v>
      </c>
      <c r="F453" t="s">
        <v>663</v>
      </c>
      <c r="G453" s="5">
        <v>1494365</v>
      </c>
      <c r="H453" s="7" t="s">
        <v>265</v>
      </c>
      <c r="I453" s="5" t="s">
        <v>253</v>
      </c>
      <c r="J453" s="5">
        <v>1</v>
      </c>
      <c r="K453" s="5" t="s">
        <v>102</v>
      </c>
      <c r="L453" s="5" t="s">
        <v>109</v>
      </c>
      <c r="M453" s="5" t="s">
        <v>94</v>
      </c>
      <c r="N453" s="5" t="s">
        <v>261</v>
      </c>
      <c r="O453" s="4"/>
      <c r="P453" s="24">
        <f t="shared" si="108"/>
        <v>9</v>
      </c>
      <c r="Q453" s="8">
        <f t="shared" si="109"/>
        <v>0</v>
      </c>
      <c r="R453" s="8">
        <f t="shared" si="110"/>
        <v>9</v>
      </c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>
        <v>1</v>
      </c>
      <c r="AK453" s="8"/>
      <c r="AL453" s="8"/>
      <c r="AM453" s="8"/>
      <c r="AN453" s="8"/>
      <c r="AO453" s="8"/>
      <c r="AP453" s="8">
        <v>1</v>
      </c>
      <c r="AQ453" s="8"/>
      <c r="AR453" s="8"/>
      <c r="AS453" s="8"/>
      <c r="AT453" s="8"/>
      <c r="AU453" s="8"/>
      <c r="AV453" s="8"/>
      <c r="AW453" s="8">
        <v>1</v>
      </c>
      <c r="AX453" s="8"/>
      <c r="AY453" s="8">
        <v>2</v>
      </c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>
        <v>1</v>
      </c>
      <c r="BK453" s="8"/>
      <c r="BL453" s="8">
        <v>1</v>
      </c>
      <c r="BM453" s="8"/>
      <c r="BN453" s="8"/>
      <c r="BO453" s="8"/>
      <c r="BP453" s="8"/>
      <c r="BQ453" s="8"/>
      <c r="BR453" s="8"/>
      <c r="BS453" s="8">
        <v>2</v>
      </c>
      <c r="BT453" s="8"/>
      <c r="BU453" s="8"/>
      <c r="BV453" s="8"/>
      <c r="BW453" s="8"/>
      <c r="BX453" s="8"/>
    </row>
    <row r="454" spans="1:76" ht="16.5" customHeight="1" x14ac:dyDescent="0.3">
      <c r="A454" t="s">
        <v>724</v>
      </c>
      <c r="B454" t="s">
        <v>656</v>
      </c>
      <c r="C454" t="s">
        <v>805</v>
      </c>
      <c r="D454" t="s">
        <v>805</v>
      </c>
      <c r="E454" t="s">
        <v>807</v>
      </c>
      <c r="F454" t="s">
        <v>807</v>
      </c>
      <c r="G454" s="5">
        <v>1494886</v>
      </c>
      <c r="H454" s="7" t="s">
        <v>450</v>
      </c>
      <c r="I454" s="5" t="s">
        <v>253</v>
      </c>
      <c r="J454" s="5">
        <v>1</v>
      </c>
      <c r="K454" s="5" t="s">
        <v>102</v>
      </c>
      <c r="L454" s="5" t="s">
        <v>109</v>
      </c>
      <c r="M454" s="5" t="s">
        <v>94</v>
      </c>
      <c r="N454" s="5" t="s">
        <v>258</v>
      </c>
      <c r="O454" s="4"/>
      <c r="P454" s="24">
        <f t="shared" si="108"/>
        <v>17</v>
      </c>
      <c r="Q454" s="8">
        <f t="shared" si="109"/>
        <v>0</v>
      </c>
      <c r="R454" s="8">
        <f t="shared" si="110"/>
        <v>17</v>
      </c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>
        <v>1</v>
      </c>
      <c r="AJ454" s="8"/>
      <c r="AK454" s="8"/>
      <c r="AL454" s="8"/>
      <c r="AM454" s="8"/>
      <c r="AN454" s="8"/>
      <c r="AO454" s="8"/>
      <c r="AP454" s="8">
        <v>1</v>
      </c>
      <c r="AQ454" s="8"/>
      <c r="AR454" s="8"/>
      <c r="AS454" s="8"/>
      <c r="AT454" s="8"/>
      <c r="AU454" s="8"/>
      <c r="AV454" s="8"/>
      <c r="AW454" s="8">
        <v>1</v>
      </c>
      <c r="AX454" s="8"/>
      <c r="AY454" s="8">
        <v>2</v>
      </c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>
        <v>5</v>
      </c>
      <c r="BK454" s="8"/>
      <c r="BL454" s="8">
        <v>1</v>
      </c>
      <c r="BM454" s="8"/>
      <c r="BN454" s="8"/>
      <c r="BO454" s="8"/>
      <c r="BP454" s="8"/>
      <c r="BQ454" s="8">
        <v>4</v>
      </c>
      <c r="BR454" s="8"/>
      <c r="BS454" s="8">
        <v>2</v>
      </c>
      <c r="BT454" s="8"/>
      <c r="BU454" s="8"/>
      <c r="BV454" s="8"/>
      <c r="BW454" s="8"/>
      <c r="BX454" s="8"/>
    </row>
    <row r="455" spans="1:76" ht="16.5" customHeight="1" x14ac:dyDescent="0.3">
      <c r="A455" t="s">
        <v>724</v>
      </c>
      <c r="B455" t="s">
        <v>656</v>
      </c>
      <c r="C455" t="s">
        <v>805</v>
      </c>
      <c r="D455" t="s">
        <v>805</v>
      </c>
      <c r="E455" t="s">
        <v>665</v>
      </c>
      <c r="F455" t="s">
        <v>727</v>
      </c>
      <c r="G455" s="5">
        <v>1494797</v>
      </c>
      <c r="H455" s="7" t="s">
        <v>267</v>
      </c>
      <c r="I455" s="5" t="s">
        <v>253</v>
      </c>
      <c r="J455" s="5">
        <v>1</v>
      </c>
      <c r="K455" s="5" t="s">
        <v>102</v>
      </c>
      <c r="L455" s="5" t="s">
        <v>109</v>
      </c>
      <c r="M455" s="5" t="s">
        <v>94</v>
      </c>
      <c r="N455" s="5" t="s">
        <v>268</v>
      </c>
      <c r="O455" s="4"/>
      <c r="P455" s="24">
        <f t="shared" si="108"/>
        <v>15.5</v>
      </c>
      <c r="Q455" s="8">
        <f t="shared" si="109"/>
        <v>0</v>
      </c>
      <c r="R455" s="8">
        <f t="shared" si="110"/>
        <v>15.5</v>
      </c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>
        <v>1</v>
      </c>
      <c r="AJ455" s="8"/>
      <c r="AK455" s="8"/>
      <c r="AL455" s="8"/>
      <c r="AM455" s="8"/>
      <c r="AN455" s="8"/>
      <c r="AO455" s="8">
        <v>1</v>
      </c>
      <c r="AP455" s="8">
        <v>1</v>
      </c>
      <c r="AQ455" s="8"/>
      <c r="AR455" s="8"/>
      <c r="AS455" s="8"/>
      <c r="AT455" s="8"/>
      <c r="AU455" s="8"/>
      <c r="AV455" s="8"/>
      <c r="AW455" s="8"/>
      <c r="AX455" s="8">
        <v>1</v>
      </c>
      <c r="AY455" s="8">
        <v>1</v>
      </c>
      <c r="AZ455" s="8"/>
      <c r="BA455" s="8"/>
      <c r="BB455" s="8"/>
      <c r="BC455" s="8"/>
      <c r="BD455" s="8"/>
      <c r="BE455" s="8"/>
      <c r="BF455" s="8"/>
      <c r="BG455" s="8"/>
      <c r="BH455" s="8">
        <v>1</v>
      </c>
      <c r="BI455" s="8">
        <v>1</v>
      </c>
      <c r="BJ455" s="8">
        <v>0.5</v>
      </c>
      <c r="BK455" s="8"/>
      <c r="BL455" s="8">
        <v>1</v>
      </c>
      <c r="BM455" s="8"/>
      <c r="BN455" s="8"/>
      <c r="BO455" s="8"/>
      <c r="BP455" s="8">
        <v>3</v>
      </c>
      <c r="BQ455" s="8">
        <v>2</v>
      </c>
      <c r="BR455" s="8"/>
      <c r="BS455" s="8">
        <v>2</v>
      </c>
      <c r="BT455" s="8"/>
      <c r="BU455" s="8"/>
      <c r="BV455" s="8"/>
      <c r="BW455" s="8"/>
      <c r="BX455" s="8"/>
    </row>
    <row r="456" spans="1:76" ht="16.5" customHeight="1" x14ac:dyDescent="0.3">
      <c r="A456" t="s">
        <v>724</v>
      </c>
      <c r="B456" t="s">
        <v>656</v>
      </c>
      <c r="C456" t="s">
        <v>805</v>
      </c>
      <c r="D456" t="s">
        <v>805</v>
      </c>
      <c r="E456" t="s">
        <v>728</v>
      </c>
      <c r="F456" t="s">
        <v>728</v>
      </c>
      <c r="G456" s="5">
        <v>1494798</v>
      </c>
      <c r="H456" s="7" t="s">
        <v>269</v>
      </c>
      <c r="I456" s="5" t="s">
        <v>253</v>
      </c>
      <c r="J456" s="5">
        <v>1</v>
      </c>
      <c r="K456" s="5" t="s">
        <v>102</v>
      </c>
      <c r="L456" s="5" t="s">
        <v>109</v>
      </c>
      <c r="M456" s="5" t="s">
        <v>94</v>
      </c>
      <c r="N456" s="5" t="s">
        <v>268</v>
      </c>
      <c r="O456" s="4"/>
      <c r="P456" s="24">
        <f t="shared" si="108"/>
        <v>18</v>
      </c>
      <c r="Q456" s="8">
        <f t="shared" si="109"/>
        <v>0</v>
      </c>
      <c r="R456" s="8">
        <f t="shared" si="110"/>
        <v>18</v>
      </c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>
        <v>1</v>
      </c>
      <c r="AK456" s="8"/>
      <c r="AL456" s="8"/>
      <c r="AM456" s="8"/>
      <c r="AN456" s="8">
        <v>1</v>
      </c>
      <c r="AO456" s="8"/>
      <c r="AP456" s="8"/>
      <c r="AQ456" s="8"/>
      <c r="AR456" s="8"/>
      <c r="AS456" s="8"/>
      <c r="AT456" s="8"/>
      <c r="AU456" s="8"/>
      <c r="AV456" s="8"/>
      <c r="AW456" s="8">
        <v>1</v>
      </c>
      <c r="AX456" s="8"/>
      <c r="AY456" s="8">
        <v>2</v>
      </c>
      <c r="AZ456" s="8"/>
      <c r="BA456" s="8"/>
      <c r="BB456" s="8"/>
      <c r="BC456" s="8"/>
      <c r="BD456" s="8"/>
      <c r="BE456" s="8"/>
      <c r="BF456" s="8">
        <v>1</v>
      </c>
      <c r="BG456" s="8"/>
      <c r="BH456" s="8">
        <v>1</v>
      </c>
      <c r="BI456" s="8"/>
      <c r="BJ456" s="8">
        <v>2</v>
      </c>
      <c r="BK456" s="8"/>
      <c r="BL456" s="8"/>
      <c r="BM456" s="8"/>
      <c r="BN456" s="8"/>
      <c r="BO456" s="8">
        <v>1</v>
      </c>
      <c r="BP456" s="8"/>
      <c r="BQ456" s="8">
        <v>2</v>
      </c>
      <c r="BR456" s="8">
        <v>1</v>
      </c>
      <c r="BS456" s="8">
        <v>3</v>
      </c>
      <c r="BT456" s="8"/>
      <c r="BU456" s="8"/>
      <c r="BV456" s="8">
        <v>1</v>
      </c>
      <c r="BW456" s="8">
        <v>1</v>
      </c>
      <c r="BX456" s="8"/>
    </row>
    <row r="457" spans="1:76" ht="16.5" customHeight="1" x14ac:dyDescent="0.3">
      <c r="A457" t="s">
        <v>724</v>
      </c>
      <c r="B457" t="s">
        <v>656</v>
      </c>
      <c r="C457" t="s">
        <v>805</v>
      </c>
      <c r="D457" t="s">
        <v>805</v>
      </c>
      <c r="E457" t="s">
        <v>729</v>
      </c>
      <c r="F457" t="s">
        <v>729</v>
      </c>
      <c r="G457" s="5">
        <v>1494799</v>
      </c>
      <c r="H457" s="7" t="s">
        <v>270</v>
      </c>
      <c r="I457" s="5" t="s">
        <v>253</v>
      </c>
      <c r="J457" s="5">
        <v>1</v>
      </c>
      <c r="K457" s="5" t="s">
        <v>102</v>
      </c>
      <c r="L457" s="5" t="s">
        <v>109</v>
      </c>
      <c r="M457" s="5" t="s">
        <v>94</v>
      </c>
      <c r="N457" s="5" t="s">
        <v>268</v>
      </c>
      <c r="O457" s="4"/>
      <c r="P457" s="24">
        <f t="shared" si="108"/>
        <v>11</v>
      </c>
      <c r="Q457" s="8">
        <f t="shared" si="109"/>
        <v>0</v>
      </c>
      <c r="R457" s="8">
        <f t="shared" si="110"/>
        <v>11</v>
      </c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>
        <v>1</v>
      </c>
      <c r="AK457" s="8"/>
      <c r="AL457" s="8"/>
      <c r="AM457" s="8"/>
      <c r="AN457" s="8">
        <v>1</v>
      </c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>
        <v>4</v>
      </c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>
        <v>3</v>
      </c>
      <c r="BK457" s="8"/>
      <c r="BL457" s="8">
        <v>1</v>
      </c>
      <c r="BM457" s="8"/>
      <c r="BN457" s="8"/>
      <c r="BO457" s="8">
        <v>1</v>
      </c>
      <c r="BP457" s="8"/>
      <c r="BQ457" s="8"/>
      <c r="BR457" s="8"/>
      <c r="BS457" s="8"/>
      <c r="BT457" s="8"/>
      <c r="BU457" s="8"/>
      <c r="BV457" s="8"/>
      <c r="BW457" s="8"/>
      <c r="BX457" s="8"/>
    </row>
    <row r="458" spans="1:76" ht="16.5" customHeight="1" x14ac:dyDescent="0.3">
      <c r="A458" t="s">
        <v>724</v>
      </c>
      <c r="B458" t="s">
        <v>656</v>
      </c>
      <c r="C458" t="s">
        <v>805</v>
      </c>
      <c r="D458" t="s">
        <v>805</v>
      </c>
      <c r="E458" t="s">
        <v>730</v>
      </c>
      <c r="F458" t="s">
        <v>730</v>
      </c>
      <c r="G458" s="5">
        <v>1494899</v>
      </c>
      <c r="H458" s="7" t="s">
        <v>271</v>
      </c>
      <c r="I458" s="5" t="s">
        <v>253</v>
      </c>
      <c r="J458" s="5">
        <v>1</v>
      </c>
      <c r="K458" s="5" t="s">
        <v>102</v>
      </c>
      <c r="L458" s="5" t="s">
        <v>109</v>
      </c>
      <c r="M458" s="5" t="s">
        <v>94</v>
      </c>
      <c r="N458" s="5" t="s">
        <v>268</v>
      </c>
      <c r="O458" s="4"/>
      <c r="P458" s="24">
        <f t="shared" si="108"/>
        <v>17</v>
      </c>
      <c r="Q458" s="8">
        <f t="shared" si="109"/>
        <v>0</v>
      </c>
      <c r="R458" s="8">
        <f t="shared" si="110"/>
        <v>17</v>
      </c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>
        <v>1</v>
      </c>
      <c r="AF458" s="8"/>
      <c r="AG458" s="8"/>
      <c r="AH458" s="8"/>
      <c r="AI458" s="8"/>
      <c r="AJ458" s="8"/>
      <c r="AK458" s="8"/>
      <c r="AL458" s="8"/>
      <c r="AM458" s="8"/>
      <c r="AN458" s="8">
        <v>6</v>
      </c>
      <c r="AO458" s="8"/>
      <c r="AP458" s="8"/>
      <c r="AQ458" s="8"/>
      <c r="AR458" s="8"/>
      <c r="AS458" s="8"/>
      <c r="AT458" s="8"/>
      <c r="AU458" s="8"/>
      <c r="AV458" s="8"/>
      <c r="AW458" s="8">
        <v>8</v>
      </c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>
        <v>2</v>
      </c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</row>
    <row r="459" spans="1:76" ht="16.5" customHeight="1" x14ac:dyDescent="0.3">
      <c r="A459" t="s">
        <v>724</v>
      </c>
      <c r="B459" t="s">
        <v>656</v>
      </c>
      <c r="C459" t="s">
        <v>805</v>
      </c>
      <c r="D459" t="s">
        <v>805</v>
      </c>
      <c r="E459" t="s">
        <v>670</v>
      </c>
      <c r="F459" t="s">
        <v>670</v>
      </c>
      <c r="G459" s="5">
        <v>1494990</v>
      </c>
      <c r="H459" s="7" t="s">
        <v>273</v>
      </c>
      <c r="I459" s="5" t="s">
        <v>253</v>
      </c>
      <c r="J459" s="5">
        <v>1</v>
      </c>
      <c r="K459" s="5" t="s">
        <v>102</v>
      </c>
      <c r="L459" s="5" t="s">
        <v>109</v>
      </c>
      <c r="M459" s="5" t="s">
        <v>94</v>
      </c>
      <c r="N459" s="5" t="s">
        <v>268</v>
      </c>
      <c r="O459" s="4"/>
      <c r="P459" s="24">
        <f t="shared" si="108"/>
        <v>23</v>
      </c>
      <c r="Q459" s="8">
        <f t="shared" si="109"/>
        <v>0</v>
      </c>
      <c r="R459" s="8">
        <f t="shared" si="110"/>
        <v>23</v>
      </c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>
        <v>1</v>
      </c>
      <c r="AJ459" s="8"/>
      <c r="AK459" s="8"/>
      <c r="AL459" s="8"/>
      <c r="AM459" s="8"/>
      <c r="AN459" s="8">
        <v>8</v>
      </c>
      <c r="AO459" s="8"/>
      <c r="AP459" s="8"/>
      <c r="AQ459" s="8">
        <v>1</v>
      </c>
      <c r="AR459" s="8"/>
      <c r="AS459" s="8"/>
      <c r="AT459" s="8"/>
      <c r="AU459" s="8"/>
      <c r="AV459" s="8"/>
      <c r="AW459" s="8">
        <v>10</v>
      </c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>
        <v>3</v>
      </c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</row>
    <row r="460" spans="1:76" ht="16.5" customHeight="1" x14ac:dyDescent="0.3">
      <c r="A460" t="s">
        <v>724</v>
      </c>
      <c r="B460" t="s">
        <v>656</v>
      </c>
      <c r="C460" t="s">
        <v>805</v>
      </c>
      <c r="D460" t="s">
        <v>805</v>
      </c>
      <c r="E460" t="s">
        <v>731</v>
      </c>
      <c r="F460" t="s">
        <v>731</v>
      </c>
      <c r="G460" s="5">
        <v>1494994</v>
      </c>
      <c r="H460" s="7" t="s">
        <v>274</v>
      </c>
      <c r="I460" s="5" t="s">
        <v>253</v>
      </c>
      <c r="J460" s="5">
        <v>1</v>
      </c>
      <c r="K460" s="5" t="s">
        <v>102</v>
      </c>
      <c r="L460" s="5" t="s">
        <v>109</v>
      </c>
      <c r="M460" s="5" t="s">
        <v>94</v>
      </c>
      <c r="N460" s="5" t="s">
        <v>268</v>
      </c>
      <c r="O460" s="4"/>
      <c r="P460" s="24">
        <f t="shared" si="108"/>
        <v>23</v>
      </c>
      <c r="Q460" s="8">
        <f t="shared" si="109"/>
        <v>0</v>
      </c>
      <c r="R460" s="8">
        <f t="shared" si="110"/>
        <v>23</v>
      </c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>
        <v>1</v>
      </c>
      <c r="AJ460" s="8"/>
      <c r="AK460" s="8"/>
      <c r="AL460" s="8"/>
      <c r="AM460" s="8"/>
      <c r="AN460" s="8">
        <v>8</v>
      </c>
      <c r="AO460" s="8"/>
      <c r="AP460" s="8"/>
      <c r="AQ460" s="8"/>
      <c r="AR460" s="8"/>
      <c r="AS460" s="8"/>
      <c r="AT460" s="8"/>
      <c r="AU460" s="8"/>
      <c r="AV460" s="8"/>
      <c r="AW460" s="8">
        <v>10</v>
      </c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>
        <v>3</v>
      </c>
      <c r="BI460" s="8"/>
      <c r="BJ460" s="8"/>
      <c r="BK460" s="8"/>
      <c r="BL460" s="8"/>
      <c r="BM460" s="8"/>
      <c r="BN460" s="8"/>
      <c r="BO460" s="8">
        <v>1</v>
      </c>
      <c r="BP460" s="8"/>
      <c r="BQ460" s="8"/>
      <c r="BR460" s="8"/>
      <c r="BS460" s="8"/>
      <c r="BT460" s="8"/>
      <c r="BU460" s="8"/>
      <c r="BV460" s="8"/>
      <c r="BW460" s="8"/>
      <c r="BX460" s="8"/>
    </row>
    <row r="461" spans="1:76" ht="16.5" customHeight="1" x14ac:dyDescent="0.3">
      <c r="A461" t="s">
        <v>724</v>
      </c>
      <c r="B461" t="s">
        <v>656</v>
      </c>
      <c r="C461" t="s">
        <v>805</v>
      </c>
      <c r="D461" t="s">
        <v>805</v>
      </c>
      <c r="E461" t="s">
        <v>808</v>
      </c>
      <c r="F461" t="s">
        <v>808</v>
      </c>
      <c r="G461" s="5">
        <v>1494999</v>
      </c>
      <c r="H461" s="7" t="s">
        <v>451</v>
      </c>
      <c r="I461" s="5" t="s">
        <v>253</v>
      </c>
      <c r="J461" s="5">
        <v>1</v>
      </c>
      <c r="K461" s="5" t="s">
        <v>102</v>
      </c>
      <c r="L461" s="5" t="s">
        <v>109</v>
      </c>
      <c r="M461" s="5" t="s">
        <v>94</v>
      </c>
      <c r="N461" s="5" t="s">
        <v>268</v>
      </c>
      <c r="O461" s="4"/>
      <c r="P461" s="24">
        <f t="shared" si="108"/>
        <v>24</v>
      </c>
      <c r="Q461" s="8">
        <f t="shared" si="109"/>
        <v>0</v>
      </c>
      <c r="R461" s="8">
        <f t="shared" si="110"/>
        <v>24</v>
      </c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>
        <v>1</v>
      </c>
      <c r="AH461" s="8"/>
      <c r="AI461" s="8"/>
      <c r="AJ461" s="8"/>
      <c r="AK461" s="8"/>
      <c r="AL461" s="8"/>
      <c r="AM461" s="8"/>
      <c r="AN461" s="8">
        <v>7</v>
      </c>
      <c r="AO461" s="8"/>
      <c r="AP461" s="8"/>
      <c r="AQ461" s="8"/>
      <c r="AR461" s="8"/>
      <c r="AS461" s="8"/>
      <c r="AT461" s="8"/>
      <c r="AU461" s="8"/>
      <c r="AV461" s="8"/>
      <c r="AW461" s="8">
        <v>8</v>
      </c>
      <c r="AX461" s="8"/>
      <c r="AY461" s="8"/>
      <c r="AZ461" s="8">
        <v>2</v>
      </c>
      <c r="BA461" s="8"/>
      <c r="BB461" s="8"/>
      <c r="BC461" s="8"/>
      <c r="BD461" s="8"/>
      <c r="BE461" s="8"/>
      <c r="BF461" s="8"/>
      <c r="BG461" s="8"/>
      <c r="BH461" s="8">
        <v>3</v>
      </c>
      <c r="BI461" s="8">
        <v>1</v>
      </c>
      <c r="BJ461" s="8"/>
      <c r="BK461" s="8"/>
      <c r="BL461" s="8"/>
      <c r="BM461" s="8"/>
      <c r="BN461" s="8"/>
      <c r="BO461" s="8">
        <v>1</v>
      </c>
      <c r="BP461" s="8"/>
      <c r="BQ461" s="8"/>
      <c r="BR461" s="8"/>
      <c r="BS461" s="8"/>
      <c r="BT461" s="8">
        <v>1</v>
      </c>
      <c r="BU461" s="8"/>
      <c r="BV461" s="8"/>
      <c r="BW461" s="8"/>
      <c r="BX461" s="8"/>
    </row>
    <row r="462" spans="1:76" ht="16.5" customHeight="1" x14ac:dyDescent="0.3">
      <c r="A462" t="s">
        <v>724</v>
      </c>
      <c r="B462" t="s">
        <v>656</v>
      </c>
      <c r="C462" t="s">
        <v>805</v>
      </c>
      <c r="D462" t="s">
        <v>805</v>
      </c>
      <c r="E462" t="s">
        <v>732</v>
      </c>
      <c r="F462" t="s">
        <v>732</v>
      </c>
      <c r="G462" s="5">
        <v>1495006</v>
      </c>
      <c r="H462" s="7" t="s">
        <v>276</v>
      </c>
      <c r="I462" s="5" t="s">
        <v>253</v>
      </c>
      <c r="J462" s="5">
        <v>1</v>
      </c>
      <c r="K462" s="5" t="s">
        <v>102</v>
      </c>
      <c r="L462" s="5" t="s">
        <v>109</v>
      </c>
      <c r="M462" s="5" t="s">
        <v>94</v>
      </c>
      <c r="N462" s="5" t="s">
        <v>268</v>
      </c>
      <c r="O462" s="4"/>
      <c r="P462" s="24">
        <f t="shared" si="108"/>
        <v>20</v>
      </c>
      <c r="Q462" s="8">
        <f t="shared" si="109"/>
        <v>0</v>
      </c>
      <c r="R462" s="8">
        <f t="shared" si="110"/>
        <v>20</v>
      </c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>
        <v>1</v>
      </c>
      <c r="AJ462" s="8"/>
      <c r="AK462" s="8"/>
      <c r="AL462" s="8"/>
      <c r="AM462" s="8"/>
      <c r="AN462" s="8">
        <v>6</v>
      </c>
      <c r="AO462" s="8"/>
      <c r="AP462" s="8"/>
      <c r="AQ462" s="8">
        <v>1</v>
      </c>
      <c r="AR462" s="8"/>
      <c r="AS462" s="8"/>
      <c r="AT462" s="8"/>
      <c r="AU462" s="8"/>
      <c r="AV462" s="8"/>
      <c r="AW462" s="8">
        <v>6</v>
      </c>
      <c r="AX462" s="8"/>
      <c r="AY462" s="8"/>
      <c r="AZ462" s="8">
        <v>2</v>
      </c>
      <c r="BA462" s="8"/>
      <c r="BB462" s="8"/>
      <c r="BC462" s="8"/>
      <c r="BD462" s="8"/>
      <c r="BE462" s="8"/>
      <c r="BF462" s="8"/>
      <c r="BG462" s="8"/>
      <c r="BH462" s="8">
        <v>3</v>
      </c>
      <c r="BI462" s="8"/>
      <c r="BJ462" s="8"/>
      <c r="BK462" s="8"/>
      <c r="BL462" s="8"/>
      <c r="BM462" s="8"/>
      <c r="BN462" s="8"/>
      <c r="BO462" s="8">
        <v>1</v>
      </c>
      <c r="BP462" s="8"/>
      <c r="BQ462" s="8"/>
      <c r="BR462" s="8"/>
      <c r="BS462" s="8"/>
      <c r="BT462" s="8"/>
      <c r="BU462" s="8"/>
      <c r="BV462" s="8"/>
      <c r="BW462" s="8"/>
      <c r="BX462" s="8"/>
    </row>
    <row r="463" spans="1:76" ht="16.5" customHeight="1" x14ac:dyDescent="0.3">
      <c r="A463" t="s">
        <v>724</v>
      </c>
      <c r="B463" t="s">
        <v>656</v>
      </c>
      <c r="C463" t="s">
        <v>805</v>
      </c>
      <c r="D463" t="s">
        <v>805</v>
      </c>
      <c r="E463" t="s">
        <v>733</v>
      </c>
      <c r="F463" t="s">
        <v>733</v>
      </c>
      <c r="G463" s="5">
        <v>1495013</v>
      </c>
      <c r="H463" s="7" t="s">
        <v>277</v>
      </c>
      <c r="I463" s="5" t="s">
        <v>253</v>
      </c>
      <c r="J463" s="5">
        <v>1</v>
      </c>
      <c r="K463" s="5" t="s">
        <v>102</v>
      </c>
      <c r="L463" s="5" t="s">
        <v>109</v>
      </c>
      <c r="M463" s="5" t="s">
        <v>94</v>
      </c>
      <c r="N463" s="5" t="s">
        <v>268</v>
      </c>
      <c r="O463" s="4"/>
      <c r="P463" s="24">
        <f t="shared" si="108"/>
        <v>27</v>
      </c>
      <c r="Q463" s="8">
        <f t="shared" si="109"/>
        <v>0</v>
      </c>
      <c r="R463" s="8">
        <f t="shared" si="110"/>
        <v>27</v>
      </c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>
        <v>1</v>
      </c>
      <c r="AH463" s="8"/>
      <c r="AI463" s="8"/>
      <c r="AJ463" s="8"/>
      <c r="AK463" s="8">
        <v>2</v>
      </c>
      <c r="AL463" s="8"/>
      <c r="AM463" s="8"/>
      <c r="AN463" s="8">
        <v>2</v>
      </c>
      <c r="AO463" s="8"/>
      <c r="AP463" s="8"/>
      <c r="AQ463" s="8">
        <v>8</v>
      </c>
      <c r="AR463" s="8"/>
      <c r="AS463" s="8"/>
      <c r="AT463" s="8"/>
      <c r="AU463" s="8"/>
      <c r="AV463" s="8"/>
      <c r="AW463" s="8"/>
      <c r="AX463" s="8"/>
      <c r="AY463" s="8"/>
      <c r="AZ463" s="8">
        <v>9</v>
      </c>
      <c r="BA463" s="8"/>
      <c r="BB463" s="8"/>
      <c r="BC463" s="8"/>
      <c r="BD463" s="8">
        <v>3</v>
      </c>
      <c r="BE463" s="8">
        <v>1</v>
      </c>
      <c r="BF463" s="8"/>
      <c r="BG463" s="8"/>
      <c r="BH463" s="8">
        <v>1</v>
      </c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</row>
    <row r="464" spans="1:76" ht="16.5" customHeight="1" x14ac:dyDescent="0.3">
      <c r="A464" t="s">
        <v>724</v>
      </c>
      <c r="B464" t="s">
        <v>656</v>
      </c>
      <c r="C464" t="s">
        <v>805</v>
      </c>
      <c r="D464" t="s">
        <v>805</v>
      </c>
      <c r="E464" t="s">
        <v>734</v>
      </c>
      <c r="F464" t="s">
        <v>734</v>
      </c>
      <c r="G464" s="5">
        <v>1495020</v>
      </c>
      <c r="H464" s="7" t="s">
        <v>278</v>
      </c>
      <c r="I464" s="5" t="s">
        <v>253</v>
      </c>
      <c r="J464" s="5">
        <v>1</v>
      </c>
      <c r="K464" s="5" t="s">
        <v>102</v>
      </c>
      <c r="L464" s="5" t="s">
        <v>109</v>
      </c>
      <c r="M464" s="5" t="s">
        <v>94</v>
      </c>
      <c r="N464" s="5" t="s">
        <v>268</v>
      </c>
      <c r="O464" s="4"/>
      <c r="P464" s="24">
        <f t="shared" si="108"/>
        <v>11</v>
      </c>
      <c r="Q464" s="8">
        <f t="shared" si="109"/>
        <v>0</v>
      </c>
      <c r="R464" s="8">
        <f t="shared" si="110"/>
        <v>11</v>
      </c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>
        <v>1</v>
      </c>
      <c r="AJ464" s="8"/>
      <c r="AK464" s="8"/>
      <c r="AL464" s="8"/>
      <c r="AM464" s="8"/>
      <c r="AN464" s="8"/>
      <c r="AO464" s="8"/>
      <c r="AP464" s="8"/>
      <c r="AQ464" s="8">
        <v>3</v>
      </c>
      <c r="AR464" s="8"/>
      <c r="AS464" s="8"/>
      <c r="AT464" s="8"/>
      <c r="AU464" s="8">
        <v>1</v>
      </c>
      <c r="AV464" s="8"/>
      <c r="AW464" s="8"/>
      <c r="AX464" s="8"/>
      <c r="AY464" s="8"/>
      <c r="AZ464" s="8">
        <v>3</v>
      </c>
      <c r="BA464" s="8"/>
      <c r="BB464" s="8"/>
      <c r="BC464" s="8"/>
      <c r="BD464" s="8">
        <v>2</v>
      </c>
      <c r="BE464" s="8"/>
      <c r="BF464" s="8"/>
      <c r="BG464" s="8"/>
      <c r="BH464" s="8">
        <v>1</v>
      </c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</row>
    <row r="465" spans="1:76" ht="16.5" customHeight="1" x14ac:dyDescent="0.3">
      <c r="A465" t="s">
        <v>724</v>
      </c>
      <c r="B465" t="s">
        <v>656</v>
      </c>
      <c r="C465" t="s">
        <v>805</v>
      </c>
      <c r="D465" t="s">
        <v>805</v>
      </c>
      <c r="E465" t="s">
        <v>735</v>
      </c>
      <c r="F465" t="s">
        <v>735</v>
      </c>
      <c r="G465" s="5">
        <v>1495027</v>
      </c>
      <c r="H465" s="7" t="s">
        <v>279</v>
      </c>
      <c r="I465" s="5" t="s">
        <v>253</v>
      </c>
      <c r="J465" s="5">
        <v>1</v>
      </c>
      <c r="K465" s="5" t="s">
        <v>102</v>
      </c>
      <c r="L465" s="5" t="s">
        <v>109</v>
      </c>
      <c r="M465" s="5" t="s">
        <v>94</v>
      </c>
      <c r="N465" s="5" t="s">
        <v>268</v>
      </c>
      <c r="O465" s="4"/>
      <c r="P465" s="24">
        <f t="shared" si="108"/>
        <v>12</v>
      </c>
      <c r="Q465" s="8">
        <f t="shared" si="109"/>
        <v>0</v>
      </c>
      <c r="R465" s="8">
        <f t="shared" si="110"/>
        <v>12</v>
      </c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>
        <v>1</v>
      </c>
      <c r="AL465" s="8"/>
      <c r="AM465" s="8"/>
      <c r="AN465" s="8"/>
      <c r="AO465" s="8"/>
      <c r="AP465" s="8"/>
      <c r="AQ465" s="8">
        <v>4</v>
      </c>
      <c r="AR465" s="8"/>
      <c r="AS465" s="8"/>
      <c r="AT465" s="8"/>
      <c r="AU465" s="8"/>
      <c r="AV465" s="8">
        <v>1</v>
      </c>
      <c r="AW465" s="8"/>
      <c r="AX465" s="8"/>
      <c r="AY465" s="8"/>
      <c r="AZ465" s="8">
        <v>3</v>
      </c>
      <c r="BA465" s="8"/>
      <c r="BB465" s="8"/>
      <c r="BC465" s="8"/>
      <c r="BD465" s="8"/>
      <c r="BE465" s="8">
        <v>1</v>
      </c>
      <c r="BF465" s="8"/>
      <c r="BG465" s="8"/>
      <c r="BH465" s="8">
        <v>2</v>
      </c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</row>
    <row r="466" spans="1:76" ht="16.5" customHeight="1" x14ac:dyDescent="0.3">
      <c r="A466" t="s">
        <v>724</v>
      </c>
      <c r="B466" t="s">
        <v>656</v>
      </c>
      <c r="C466" t="s">
        <v>805</v>
      </c>
      <c r="D466" t="s">
        <v>805</v>
      </c>
      <c r="E466" t="s">
        <v>809</v>
      </c>
      <c r="F466" t="s">
        <v>809</v>
      </c>
      <c r="G466" s="5">
        <v>1495033</v>
      </c>
      <c r="H466" s="7" t="s">
        <v>452</v>
      </c>
      <c r="I466" s="5" t="s">
        <v>253</v>
      </c>
      <c r="J466" s="5">
        <v>1</v>
      </c>
      <c r="K466" s="5" t="s">
        <v>102</v>
      </c>
      <c r="L466" s="5" t="s">
        <v>109</v>
      </c>
      <c r="M466" s="5" t="s">
        <v>94</v>
      </c>
      <c r="N466" s="5" t="s">
        <v>380</v>
      </c>
      <c r="O466" s="4"/>
      <c r="P466" s="24">
        <f t="shared" si="108"/>
        <v>15</v>
      </c>
      <c r="Q466" s="8">
        <f t="shared" si="109"/>
        <v>0</v>
      </c>
      <c r="R466" s="8">
        <f t="shared" si="110"/>
        <v>15</v>
      </c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>
        <v>1</v>
      </c>
      <c r="AK466" s="8"/>
      <c r="AL466" s="8"/>
      <c r="AM466" s="8"/>
      <c r="AN466" s="8">
        <v>1</v>
      </c>
      <c r="AO466" s="8"/>
      <c r="AP466" s="8"/>
      <c r="AQ466" s="8">
        <v>4</v>
      </c>
      <c r="AR466" s="8"/>
      <c r="AS466" s="8"/>
      <c r="AT466" s="8"/>
      <c r="AU466" s="8">
        <v>1</v>
      </c>
      <c r="AV466" s="8"/>
      <c r="AW466" s="8"/>
      <c r="AX466" s="8"/>
      <c r="AY466" s="8"/>
      <c r="AZ466" s="8">
        <v>6</v>
      </c>
      <c r="BA466" s="8"/>
      <c r="BB466" s="8"/>
      <c r="BC466" s="8"/>
      <c r="BD466" s="8">
        <v>1</v>
      </c>
      <c r="BE466" s="8"/>
      <c r="BF466" s="8"/>
      <c r="BG466" s="8"/>
      <c r="BH466" s="8">
        <v>1</v>
      </c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</row>
    <row r="467" spans="1:76" ht="16.5" customHeight="1" x14ac:dyDescent="0.3">
      <c r="A467" t="s">
        <v>724</v>
      </c>
      <c r="B467" t="s">
        <v>656</v>
      </c>
      <c r="C467" t="s">
        <v>805</v>
      </c>
      <c r="D467" t="s">
        <v>805</v>
      </c>
      <c r="E467" t="s">
        <v>736</v>
      </c>
      <c r="F467" t="s">
        <v>736</v>
      </c>
      <c r="G467" s="5">
        <v>1495038</v>
      </c>
      <c r="H467" s="7" t="s">
        <v>217</v>
      </c>
      <c r="I467" s="5" t="s">
        <v>253</v>
      </c>
      <c r="J467" s="5">
        <v>1</v>
      </c>
      <c r="K467" s="5" t="s">
        <v>102</v>
      </c>
      <c r="L467" s="5" t="s">
        <v>109</v>
      </c>
      <c r="M467" s="5" t="s">
        <v>94</v>
      </c>
      <c r="N467" s="5" t="s">
        <v>268</v>
      </c>
      <c r="O467" s="4"/>
      <c r="P467" s="24">
        <f t="shared" si="108"/>
        <v>20</v>
      </c>
      <c r="Q467" s="8">
        <f t="shared" si="109"/>
        <v>0</v>
      </c>
      <c r="R467" s="8">
        <f t="shared" si="110"/>
        <v>20</v>
      </c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>
        <v>1</v>
      </c>
      <c r="AL467" s="8"/>
      <c r="AM467" s="8"/>
      <c r="AN467" s="8">
        <v>1</v>
      </c>
      <c r="AO467" s="8"/>
      <c r="AP467" s="8"/>
      <c r="AQ467" s="8">
        <v>3</v>
      </c>
      <c r="AR467" s="8"/>
      <c r="AS467" s="8"/>
      <c r="AT467" s="8"/>
      <c r="AU467" s="8">
        <v>3</v>
      </c>
      <c r="AV467" s="8">
        <v>2</v>
      </c>
      <c r="AW467" s="8"/>
      <c r="AX467" s="8"/>
      <c r="AY467" s="8"/>
      <c r="AZ467" s="8">
        <v>6</v>
      </c>
      <c r="BA467" s="8"/>
      <c r="BB467" s="8"/>
      <c r="BC467" s="8"/>
      <c r="BD467" s="8">
        <v>1</v>
      </c>
      <c r="BE467" s="8">
        <v>1</v>
      </c>
      <c r="BF467" s="8"/>
      <c r="BG467" s="8"/>
      <c r="BH467" s="8">
        <v>2</v>
      </c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</row>
    <row r="468" spans="1:76" ht="16.5" customHeight="1" x14ac:dyDescent="0.3">
      <c r="G468" s="14">
        <v>1494366</v>
      </c>
      <c r="H468" s="15" t="s">
        <v>453</v>
      </c>
      <c r="I468" s="14" t="s">
        <v>253</v>
      </c>
      <c r="J468" s="14">
        <v>2</v>
      </c>
      <c r="K468" s="14" t="s">
        <v>254</v>
      </c>
      <c r="L468" s="14" t="s">
        <v>255</v>
      </c>
      <c r="M468" s="14" t="s">
        <v>94</v>
      </c>
      <c r="N468" s="14" t="s">
        <v>110</v>
      </c>
      <c r="O468" s="13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</row>
    <row r="469" spans="1:76" ht="16.5" customHeight="1" x14ac:dyDescent="0.3">
      <c r="A469" t="s">
        <v>724</v>
      </c>
      <c r="B469" t="s">
        <v>656</v>
      </c>
      <c r="C469" t="s">
        <v>805</v>
      </c>
      <c r="D469" t="s">
        <v>810</v>
      </c>
      <c r="E469" t="s">
        <v>810</v>
      </c>
      <c r="F469" t="s">
        <v>810</v>
      </c>
      <c r="G469" s="5">
        <v>1494366</v>
      </c>
      <c r="H469" s="38" t="s">
        <v>454</v>
      </c>
      <c r="I469" s="5" t="s">
        <v>253</v>
      </c>
      <c r="J469" s="5">
        <v>2</v>
      </c>
      <c r="K469" s="5" t="s">
        <v>254</v>
      </c>
      <c r="L469" s="5" t="s">
        <v>255</v>
      </c>
      <c r="M469" s="5" t="s">
        <v>94</v>
      </c>
      <c r="N469" s="5" t="s">
        <v>110</v>
      </c>
      <c r="O469" s="4"/>
      <c r="P469" s="24">
        <f t="shared" ref="P469:P480" si="111">SUM(Q469,R469)</f>
        <v>1</v>
      </c>
      <c r="Q469" s="8">
        <f t="shared" ref="Q469:Q480" si="112">S469</f>
        <v>0</v>
      </c>
      <c r="R469" s="8">
        <f t="shared" ref="R469:R480" si="113">SUM(T469:BX469)</f>
        <v>1</v>
      </c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>
        <v>1</v>
      </c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</row>
    <row r="470" spans="1:76" ht="16.5" customHeight="1" x14ac:dyDescent="0.3">
      <c r="A470" t="s">
        <v>724</v>
      </c>
      <c r="B470" t="s">
        <v>656</v>
      </c>
      <c r="C470" t="s">
        <v>805</v>
      </c>
      <c r="D470" t="s">
        <v>810</v>
      </c>
      <c r="E470" t="s">
        <v>811</v>
      </c>
      <c r="F470" t="s">
        <v>811</v>
      </c>
      <c r="G470" s="5">
        <v>1494367</v>
      </c>
      <c r="H470" s="7" t="s">
        <v>455</v>
      </c>
      <c r="I470" s="5" t="s">
        <v>253</v>
      </c>
      <c r="J470" s="5">
        <v>2</v>
      </c>
      <c r="K470" s="5" t="s">
        <v>102</v>
      </c>
      <c r="L470" s="5" t="s">
        <v>109</v>
      </c>
      <c r="M470" s="5" t="s">
        <v>94</v>
      </c>
      <c r="N470" s="5" t="s">
        <v>283</v>
      </c>
      <c r="O470" s="4"/>
      <c r="P470" s="24">
        <f t="shared" si="111"/>
        <v>52</v>
      </c>
      <c r="Q470" s="8">
        <f t="shared" si="112"/>
        <v>0</v>
      </c>
      <c r="R470" s="8">
        <f t="shared" si="113"/>
        <v>52</v>
      </c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>
        <v>1</v>
      </c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>
        <v>5</v>
      </c>
      <c r="AQ470" s="8"/>
      <c r="AR470" s="8"/>
      <c r="AS470" s="8"/>
      <c r="AT470" s="8"/>
      <c r="AU470" s="8"/>
      <c r="AV470" s="8"/>
      <c r="AW470" s="8">
        <v>1</v>
      </c>
      <c r="AX470" s="8"/>
      <c r="AY470" s="8">
        <v>9</v>
      </c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>
        <v>15</v>
      </c>
      <c r="BK470" s="8"/>
      <c r="BL470" s="8">
        <v>3</v>
      </c>
      <c r="BM470" s="8"/>
      <c r="BN470" s="8"/>
      <c r="BO470" s="8">
        <v>1</v>
      </c>
      <c r="BP470" s="8"/>
      <c r="BQ470" s="8">
        <v>11</v>
      </c>
      <c r="BR470" s="8"/>
      <c r="BS470" s="8">
        <v>6</v>
      </c>
      <c r="BT470" s="8"/>
      <c r="BU470" s="8"/>
      <c r="BV470" s="8"/>
      <c r="BW470" s="8"/>
      <c r="BX470" s="8"/>
    </row>
    <row r="471" spans="1:76" ht="16.5" customHeight="1" x14ac:dyDescent="0.3">
      <c r="A471" t="s">
        <v>724</v>
      </c>
      <c r="B471" t="s">
        <v>656</v>
      </c>
      <c r="C471" t="s">
        <v>805</v>
      </c>
      <c r="D471" t="s">
        <v>810</v>
      </c>
      <c r="E471" t="s">
        <v>812</v>
      </c>
      <c r="F471" t="s">
        <v>812</v>
      </c>
      <c r="G471" s="5">
        <v>1494368</v>
      </c>
      <c r="H471" s="7" t="s">
        <v>456</v>
      </c>
      <c r="I471" s="5" t="s">
        <v>253</v>
      </c>
      <c r="J471" s="5">
        <v>2</v>
      </c>
      <c r="K471" s="5" t="s">
        <v>102</v>
      </c>
      <c r="L471" s="5" t="s">
        <v>109</v>
      </c>
      <c r="M471" s="5" t="s">
        <v>94</v>
      </c>
      <c r="N471" s="5" t="s">
        <v>283</v>
      </c>
      <c r="O471" s="4"/>
      <c r="P471" s="24">
        <f t="shared" si="111"/>
        <v>9</v>
      </c>
      <c r="Q471" s="8">
        <f t="shared" si="112"/>
        <v>0</v>
      </c>
      <c r="R471" s="8">
        <f t="shared" si="113"/>
        <v>9</v>
      </c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>
        <v>1</v>
      </c>
      <c r="AK471" s="8"/>
      <c r="AL471" s="8"/>
      <c r="AM471" s="8"/>
      <c r="AN471" s="8"/>
      <c r="AO471" s="8"/>
      <c r="AP471" s="8">
        <v>1</v>
      </c>
      <c r="AQ471" s="8"/>
      <c r="AR471" s="8"/>
      <c r="AS471" s="8"/>
      <c r="AT471" s="8"/>
      <c r="AU471" s="8"/>
      <c r="AV471" s="8"/>
      <c r="AW471" s="8"/>
      <c r="AX471" s="8"/>
      <c r="AY471" s="8">
        <v>1</v>
      </c>
      <c r="AZ471" s="8"/>
      <c r="BA471" s="8"/>
      <c r="BB471" s="8"/>
      <c r="BC471" s="8"/>
      <c r="BD471" s="8"/>
      <c r="BE471" s="8"/>
      <c r="BF471" s="8"/>
      <c r="BG471" s="8"/>
      <c r="BH471" s="8">
        <v>1</v>
      </c>
      <c r="BI471" s="8"/>
      <c r="BJ471" s="8">
        <v>1</v>
      </c>
      <c r="BK471" s="8"/>
      <c r="BL471" s="8">
        <v>1</v>
      </c>
      <c r="BM471" s="8"/>
      <c r="BN471" s="8"/>
      <c r="BO471" s="8"/>
      <c r="BP471" s="8"/>
      <c r="BQ471" s="8">
        <v>2</v>
      </c>
      <c r="BR471" s="8"/>
      <c r="BS471" s="8">
        <v>1</v>
      </c>
      <c r="BT471" s="8"/>
      <c r="BU471" s="8"/>
      <c r="BV471" s="8"/>
      <c r="BW471" s="8"/>
      <c r="BX471" s="8"/>
    </row>
    <row r="472" spans="1:76" ht="16.5" customHeight="1" x14ac:dyDescent="0.3">
      <c r="A472" t="s">
        <v>724</v>
      </c>
      <c r="B472" t="s">
        <v>656</v>
      </c>
      <c r="C472" t="s">
        <v>805</v>
      </c>
      <c r="D472" t="s">
        <v>810</v>
      </c>
      <c r="E472" t="s">
        <v>813</v>
      </c>
      <c r="F472" t="s">
        <v>813</v>
      </c>
      <c r="G472" s="5">
        <v>1494903</v>
      </c>
      <c r="H472" s="7" t="s">
        <v>457</v>
      </c>
      <c r="I472" s="5" t="s">
        <v>253</v>
      </c>
      <c r="J472" s="5">
        <v>2</v>
      </c>
      <c r="K472" s="5" t="s">
        <v>102</v>
      </c>
      <c r="L472" s="5" t="s">
        <v>109</v>
      </c>
      <c r="M472" s="5" t="s">
        <v>94</v>
      </c>
      <c r="N472" s="5" t="s">
        <v>283</v>
      </c>
      <c r="O472" s="4"/>
      <c r="P472" s="24">
        <f t="shared" si="111"/>
        <v>9</v>
      </c>
      <c r="Q472" s="8">
        <f t="shared" si="112"/>
        <v>0</v>
      </c>
      <c r="R472" s="8">
        <f t="shared" si="113"/>
        <v>9</v>
      </c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>
        <v>1</v>
      </c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>
        <v>2</v>
      </c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>
        <v>2</v>
      </c>
      <c r="BK472" s="8"/>
      <c r="BL472" s="8">
        <v>1</v>
      </c>
      <c r="BM472" s="8"/>
      <c r="BN472" s="8"/>
      <c r="BO472" s="8">
        <v>1</v>
      </c>
      <c r="BP472" s="8"/>
      <c r="BQ472" s="8">
        <v>2</v>
      </c>
      <c r="BR472" s="8"/>
      <c r="BS472" s="8"/>
      <c r="BT472" s="8"/>
      <c r="BU472" s="8"/>
      <c r="BV472" s="8"/>
      <c r="BW472" s="8"/>
      <c r="BX472" s="8"/>
    </row>
    <row r="473" spans="1:76" ht="16.5" customHeight="1" x14ac:dyDescent="0.3">
      <c r="A473" t="s">
        <v>724</v>
      </c>
      <c r="B473" t="s">
        <v>656</v>
      </c>
      <c r="C473" t="s">
        <v>805</v>
      </c>
      <c r="D473" t="s">
        <v>810</v>
      </c>
      <c r="E473" t="s">
        <v>665</v>
      </c>
      <c r="F473" t="s">
        <v>727</v>
      </c>
      <c r="G473" s="5">
        <v>1494863</v>
      </c>
      <c r="H473" s="7" t="s">
        <v>284</v>
      </c>
      <c r="I473" s="5" t="s">
        <v>253</v>
      </c>
      <c r="J473" s="5">
        <v>2</v>
      </c>
      <c r="K473" s="5" t="s">
        <v>102</v>
      </c>
      <c r="L473" s="5" t="s">
        <v>109</v>
      </c>
      <c r="M473" s="5" t="s">
        <v>94</v>
      </c>
      <c r="N473" s="5" t="s">
        <v>285</v>
      </c>
      <c r="O473" s="4"/>
      <c r="P473" s="24">
        <f t="shared" si="111"/>
        <v>8</v>
      </c>
      <c r="Q473" s="8">
        <f t="shared" si="112"/>
        <v>0</v>
      </c>
      <c r="R473" s="8">
        <f t="shared" si="113"/>
        <v>8</v>
      </c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>
        <v>1</v>
      </c>
      <c r="AK473" s="8"/>
      <c r="AL473" s="8"/>
      <c r="AM473" s="8"/>
      <c r="AN473" s="8"/>
      <c r="AO473" s="8">
        <v>1</v>
      </c>
      <c r="AP473" s="8"/>
      <c r="AQ473" s="8"/>
      <c r="AR473" s="8"/>
      <c r="AS473" s="8"/>
      <c r="AT473" s="8"/>
      <c r="AU473" s="8"/>
      <c r="AV473" s="8"/>
      <c r="AW473" s="8"/>
      <c r="AX473" s="8"/>
      <c r="AY473" s="8">
        <v>1</v>
      </c>
      <c r="AZ473" s="8"/>
      <c r="BA473" s="8"/>
      <c r="BB473" s="8"/>
      <c r="BC473" s="8"/>
      <c r="BD473" s="8"/>
      <c r="BE473" s="8"/>
      <c r="BF473" s="8"/>
      <c r="BG473" s="8"/>
      <c r="BH473" s="8"/>
      <c r="BI473" s="8">
        <v>1</v>
      </c>
      <c r="BJ473" s="8"/>
      <c r="BK473" s="8"/>
      <c r="BL473" s="8">
        <v>1</v>
      </c>
      <c r="BM473" s="8"/>
      <c r="BN473" s="8"/>
      <c r="BO473" s="8"/>
      <c r="BP473" s="8">
        <v>2</v>
      </c>
      <c r="BQ473" s="8"/>
      <c r="BR473" s="8"/>
      <c r="BS473" s="8">
        <v>1</v>
      </c>
      <c r="BT473" s="8"/>
      <c r="BU473" s="8"/>
      <c r="BV473" s="8"/>
      <c r="BW473" s="8"/>
      <c r="BX473" s="8"/>
    </row>
    <row r="474" spans="1:76" ht="16.5" customHeight="1" x14ac:dyDescent="0.3">
      <c r="A474" t="s">
        <v>724</v>
      </c>
      <c r="B474" t="s">
        <v>656</v>
      </c>
      <c r="C474" t="s">
        <v>805</v>
      </c>
      <c r="D474" t="s">
        <v>810</v>
      </c>
      <c r="E474" t="s">
        <v>728</v>
      </c>
      <c r="F474" t="s">
        <v>728</v>
      </c>
      <c r="G474" s="5">
        <v>1494864</v>
      </c>
      <c r="H474" s="7" t="s">
        <v>286</v>
      </c>
      <c r="I474" s="5" t="s">
        <v>253</v>
      </c>
      <c r="J474" s="5">
        <v>2</v>
      </c>
      <c r="K474" s="5" t="s">
        <v>102</v>
      </c>
      <c r="L474" s="5" t="s">
        <v>109</v>
      </c>
      <c r="M474" s="5" t="s">
        <v>94</v>
      </c>
      <c r="N474" s="5" t="s">
        <v>285</v>
      </c>
      <c r="O474" s="4"/>
      <c r="P474" s="24">
        <f t="shared" si="111"/>
        <v>14</v>
      </c>
      <c r="Q474" s="8">
        <f t="shared" si="112"/>
        <v>0</v>
      </c>
      <c r="R474" s="8">
        <f t="shared" si="113"/>
        <v>14</v>
      </c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>
        <v>1</v>
      </c>
      <c r="AK474" s="8"/>
      <c r="AL474" s="8"/>
      <c r="AM474" s="8"/>
      <c r="AN474" s="8">
        <v>1</v>
      </c>
      <c r="AO474" s="8"/>
      <c r="AP474" s="8"/>
      <c r="AQ474" s="8"/>
      <c r="AR474" s="8"/>
      <c r="AS474" s="8"/>
      <c r="AT474" s="8"/>
      <c r="AU474" s="8"/>
      <c r="AV474" s="8"/>
      <c r="AW474" s="8">
        <v>1</v>
      </c>
      <c r="AX474" s="8"/>
      <c r="AY474" s="8">
        <v>3</v>
      </c>
      <c r="AZ474" s="8"/>
      <c r="BA474" s="8"/>
      <c r="BB474" s="8"/>
      <c r="BC474" s="8"/>
      <c r="BD474" s="8"/>
      <c r="BE474" s="8"/>
      <c r="BF474" s="8"/>
      <c r="BG474" s="8"/>
      <c r="BH474" s="8">
        <v>2</v>
      </c>
      <c r="BI474" s="8"/>
      <c r="BJ474" s="8">
        <v>1</v>
      </c>
      <c r="BK474" s="8"/>
      <c r="BL474" s="8">
        <v>1</v>
      </c>
      <c r="BM474" s="8"/>
      <c r="BN474" s="8"/>
      <c r="BO474" s="8"/>
      <c r="BP474" s="8"/>
      <c r="BQ474" s="8">
        <v>1</v>
      </c>
      <c r="BR474" s="8"/>
      <c r="BS474" s="8">
        <v>1</v>
      </c>
      <c r="BT474" s="8"/>
      <c r="BU474" s="8">
        <v>1</v>
      </c>
      <c r="BV474" s="8">
        <v>1</v>
      </c>
      <c r="BW474" s="8"/>
      <c r="BX474" s="8"/>
    </row>
    <row r="475" spans="1:76" ht="16.5" customHeight="1" x14ac:dyDescent="0.3">
      <c r="A475" t="s">
        <v>724</v>
      </c>
      <c r="B475" t="s">
        <v>656</v>
      </c>
      <c r="C475" t="s">
        <v>805</v>
      </c>
      <c r="D475" t="s">
        <v>810</v>
      </c>
      <c r="E475" t="s">
        <v>670</v>
      </c>
      <c r="F475" t="s">
        <v>670</v>
      </c>
      <c r="G475" s="5">
        <v>1495153</v>
      </c>
      <c r="H475" s="7" t="s">
        <v>288</v>
      </c>
      <c r="I475" s="5" t="s">
        <v>253</v>
      </c>
      <c r="J475" s="5">
        <v>2</v>
      </c>
      <c r="K475" s="5" t="s">
        <v>102</v>
      </c>
      <c r="L475" s="5" t="s">
        <v>109</v>
      </c>
      <c r="M475" s="5" t="s">
        <v>94</v>
      </c>
      <c r="N475" s="5" t="s">
        <v>285</v>
      </c>
      <c r="O475" s="4"/>
      <c r="P475" s="24">
        <f t="shared" si="111"/>
        <v>22</v>
      </c>
      <c r="Q475" s="8">
        <f t="shared" si="112"/>
        <v>0</v>
      </c>
      <c r="R475" s="8">
        <f t="shared" si="113"/>
        <v>22</v>
      </c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>
        <v>1</v>
      </c>
      <c r="AJ475" s="8"/>
      <c r="AK475" s="8"/>
      <c r="AL475" s="8"/>
      <c r="AM475" s="8"/>
      <c r="AN475" s="8">
        <v>8</v>
      </c>
      <c r="AO475" s="8"/>
      <c r="AP475" s="8"/>
      <c r="AQ475" s="8"/>
      <c r="AR475" s="8"/>
      <c r="AS475" s="8"/>
      <c r="AT475" s="8"/>
      <c r="AU475" s="8"/>
      <c r="AV475" s="8"/>
      <c r="AW475" s="8">
        <v>9</v>
      </c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>
        <v>3</v>
      </c>
      <c r="BI475" s="8"/>
      <c r="BJ475" s="8"/>
      <c r="BK475" s="8"/>
      <c r="BL475" s="8"/>
      <c r="BM475" s="8"/>
      <c r="BN475" s="8"/>
      <c r="BO475" s="8">
        <v>1</v>
      </c>
      <c r="BP475" s="8"/>
      <c r="BQ475" s="8"/>
      <c r="BR475" s="8"/>
      <c r="BS475" s="8"/>
      <c r="BT475" s="8"/>
      <c r="BU475" s="8"/>
      <c r="BV475" s="8"/>
      <c r="BW475" s="8"/>
      <c r="BX475" s="8"/>
    </row>
    <row r="476" spans="1:76" ht="16.5" customHeight="1" x14ac:dyDescent="0.3">
      <c r="A476" t="s">
        <v>724</v>
      </c>
      <c r="B476" t="s">
        <v>656</v>
      </c>
      <c r="C476" t="s">
        <v>805</v>
      </c>
      <c r="D476" t="s">
        <v>810</v>
      </c>
      <c r="E476" t="s">
        <v>731</v>
      </c>
      <c r="F476" t="s">
        <v>731</v>
      </c>
      <c r="G476" s="5">
        <v>1495185</v>
      </c>
      <c r="H476" s="7" t="s">
        <v>289</v>
      </c>
      <c r="I476" s="5" t="s">
        <v>253</v>
      </c>
      <c r="J476" s="5">
        <v>2</v>
      </c>
      <c r="K476" s="5" t="s">
        <v>102</v>
      </c>
      <c r="L476" s="5" t="s">
        <v>109</v>
      </c>
      <c r="M476" s="5" t="s">
        <v>94</v>
      </c>
      <c r="N476" s="5" t="s">
        <v>285</v>
      </c>
      <c r="O476" s="4"/>
      <c r="P476" s="24">
        <f t="shared" si="111"/>
        <v>13</v>
      </c>
      <c r="Q476" s="8">
        <f t="shared" si="112"/>
        <v>0</v>
      </c>
      <c r="R476" s="8">
        <f t="shared" si="113"/>
        <v>13</v>
      </c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>
        <v>1</v>
      </c>
      <c r="AJ476" s="8"/>
      <c r="AK476" s="8"/>
      <c r="AL476" s="8"/>
      <c r="AM476" s="8"/>
      <c r="AN476" s="8">
        <v>5</v>
      </c>
      <c r="AO476" s="8"/>
      <c r="AP476" s="8"/>
      <c r="AQ476" s="8"/>
      <c r="AR476" s="8"/>
      <c r="AS476" s="8"/>
      <c r="AT476" s="8"/>
      <c r="AU476" s="8"/>
      <c r="AV476" s="8"/>
      <c r="AW476" s="8">
        <v>5</v>
      </c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>
        <v>1</v>
      </c>
      <c r="BI476" s="8"/>
      <c r="BJ476" s="8"/>
      <c r="BK476" s="8"/>
      <c r="BL476" s="8"/>
      <c r="BM476" s="8"/>
      <c r="BN476" s="8"/>
      <c r="BO476" s="8">
        <v>1</v>
      </c>
      <c r="BP476" s="8"/>
      <c r="BQ476" s="8"/>
      <c r="BR476" s="8"/>
      <c r="BS476" s="8"/>
      <c r="BT476" s="8"/>
      <c r="BU476" s="8"/>
      <c r="BV476" s="8"/>
      <c r="BW476" s="8"/>
      <c r="BX476" s="8"/>
    </row>
    <row r="477" spans="1:76" ht="16.5" customHeight="1" x14ac:dyDescent="0.3">
      <c r="A477" t="s">
        <v>724</v>
      </c>
      <c r="B477" t="s">
        <v>656</v>
      </c>
      <c r="C477" t="s">
        <v>805</v>
      </c>
      <c r="D477" t="s">
        <v>810</v>
      </c>
      <c r="E477" t="s">
        <v>741</v>
      </c>
      <c r="F477" t="s">
        <v>741</v>
      </c>
      <c r="G477" s="5">
        <v>1495215</v>
      </c>
      <c r="H477" s="7" t="s">
        <v>291</v>
      </c>
      <c r="I477" s="5" t="s">
        <v>253</v>
      </c>
      <c r="J477" s="5">
        <v>2</v>
      </c>
      <c r="K477" s="5" t="s">
        <v>102</v>
      </c>
      <c r="L477" s="5" t="s">
        <v>109</v>
      </c>
      <c r="M477" s="5" t="s">
        <v>94</v>
      </c>
      <c r="N477" s="5" t="s">
        <v>285</v>
      </c>
      <c r="O477" s="4"/>
      <c r="P477" s="24">
        <f t="shared" si="111"/>
        <v>10</v>
      </c>
      <c r="Q477" s="8">
        <f t="shared" si="112"/>
        <v>0</v>
      </c>
      <c r="R477" s="8">
        <f t="shared" si="113"/>
        <v>10</v>
      </c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>
        <v>1</v>
      </c>
      <c r="AJ477" s="8"/>
      <c r="AK477" s="8"/>
      <c r="AL477" s="8"/>
      <c r="AM477" s="8"/>
      <c r="AN477" s="8">
        <v>3</v>
      </c>
      <c r="AO477" s="8"/>
      <c r="AP477" s="8"/>
      <c r="AQ477" s="8"/>
      <c r="AR477" s="8"/>
      <c r="AS477" s="8"/>
      <c r="AT477" s="8"/>
      <c r="AU477" s="8"/>
      <c r="AV477" s="8"/>
      <c r="AW477" s="8">
        <v>5</v>
      </c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>
        <v>1</v>
      </c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</row>
    <row r="478" spans="1:76" ht="16.5" customHeight="1" x14ac:dyDescent="0.3">
      <c r="A478" t="s">
        <v>724</v>
      </c>
      <c r="B478" t="s">
        <v>656</v>
      </c>
      <c r="C478" t="s">
        <v>805</v>
      </c>
      <c r="D478" t="s">
        <v>810</v>
      </c>
      <c r="E478" t="s">
        <v>734</v>
      </c>
      <c r="F478" t="s">
        <v>734</v>
      </c>
      <c r="G478" s="5">
        <v>1495239</v>
      </c>
      <c r="H478" s="7" t="s">
        <v>297</v>
      </c>
      <c r="I478" s="5" t="s">
        <v>253</v>
      </c>
      <c r="J478" s="5">
        <v>2</v>
      </c>
      <c r="K478" s="5" t="s">
        <v>102</v>
      </c>
      <c r="L478" s="5" t="s">
        <v>109</v>
      </c>
      <c r="M478" s="5" t="s">
        <v>94</v>
      </c>
      <c r="N478" s="5" t="s">
        <v>285</v>
      </c>
      <c r="O478" s="4"/>
      <c r="P478" s="24">
        <f t="shared" si="111"/>
        <v>10</v>
      </c>
      <c r="Q478" s="8">
        <f t="shared" si="112"/>
        <v>0</v>
      </c>
      <c r="R478" s="8">
        <f t="shared" si="113"/>
        <v>10</v>
      </c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>
        <v>1</v>
      </c>
      <c r="AK478" s="8"/>
      <c r="AL478" s="8"/>
      <c r="AM478" s="8"/>
      <c r="AN478" s="8"/>
      <c r="AO478" s="8"/>
      <c r="AP478" s="8"/>
      <c r="AQ478" s="8">
        <v>3</v>
      </c>
      <c r="AR478" s="8"/>
      <c r="AS478" s="8"/>
      <c r="AT478" s="8"/>
      <c r="AU478" s="8">
        <v>1</v>
      </c>
      <c r="AV478" s="8"/>
      <c r="AW478" s="8"/>
      <c r="AX478" s="8"/>
      <c r="AY478" s="8"/>
      <c r="AZ478" s="8">
        <v>4</v>
      </c>
      <c r="BA478" s="8"/>
      <c r="BB478" s="8"/>
      <c r="BC478" s="8"/>
      <c r="BD478" s="8">
        <v>1</v>
      </c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</row>
    <row r="479" spans="1:76" ht="16.5" customHeight="1" x14ac:dyDescent="0.3">
      <c r="A479" t="s">
        <v>724</v>
      </c>
      <c r="B479" t="s">
        <v>656</v>
      </c>
      <c r="C479" t="s">
        <v>805</v>
      </c>
      <c r="D479" t="s">
        <v>810</v>
      </c>
      <c r="E479" t="s">
        <v>735</v>
      </c>
      <c r="F479" t="s">
        <v>735</v>
      </c>
      <c r="G479" s="5">
        <v>1495260</v>
      </c>
      <c r="H479" s="7" t="s">
        <v>292</v>
      </c>
      <c r="I479" s="5" t="s">
        <v>253</v>
      </c>
      <c r="J479" s="5">
        <v>2</v>
      </c>
      <c r="K479" s="5" t="s">
        <v>102</v>
      </c>
      <c r="L479" s="5" t="s">
        <v>109</v>
      </c>
      <c r="M479" s="5" t="s">
        <v>94</v>
      </c>
      <c r="N479" s="5" t="s">
        <v>285</v>
      </c>
      <c r="O479" s="4"/>
      <c r="P479" s="24">
        <f t="shared" si="111"/>
        <v>9</v>
      </c>
      <c r="Q479" s="8">
        <f t="shared" si="112"/>
        <v>0</v>
      </c>
      <c r="R479" s="8">
        <f t="shared" si="113"/>
        <v>9</v>
      </c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>
        <v>1</v>
      </c>
      <c r="AK479" s="8"/>
      <c r="AL479" s="8"/>
      <c r="AM479" s="8"/>
      <c r="AN479" s="8"/>
      <c r="AO479" s="8"/>
      <c r="AP479" s="8"/>
      <c r="AQ479" s="8">
        <v>2</v>
      </c>
      <c r="AR479" s="8"/>
      <c r="AS479" s="8"/>
      <c r="AT479" s="8"/>
      <c r="AU479" s="8">
        <v>2</v>
      </c>
      <c r="AV479" s="8">
        <v>1</v>
      </c>
      <c r="AW479" s="8"/>
      <c r="AX479" s="8"/>
      <c r="AY479" s="8"/>
      <c r="AZ479" s="8">
        <v>2</v>
      </c>
      <c r="BA479" s="8"/>
      <c r="BB479" s="8"/>
      <c r="BC479" s="8"/>
      <c r="BD479" s="8"/>
      <c r="BE479" s="8"/>
      <c r="BF479" s="8"/>
      <c r="BG479" s="8"/>
      <c r="BH479" s="8">
        <v>1</v>
      </c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</row>
    <row r="480" spans="1:76" ht="16.5" customHeight="1" x14ac:dyDescent="0.3">
      <c r="A480" t="s">
        <v>724</v>
      </c>
      <c r="B480" t="s">
        <v>656</v>
      </c>
      <c r="C480" t="s">
        <v>805</v>
      </c>
      <c r="D480" t="s">
        <v>810</v>
      </c>
      <c r="E480" t="s">
        <v>736</v>
      </c>
      <c r="F480" t="s">
        <v>736</v>
      </c>
      <c r="G480" s="5">
        <v>1495271</v>
      </c>
      <c r="H480" s="7" t="s">
        <v>327</v>
      </c>
      <c r="I480" s="5" t="s">
        <v>253</v>
      </c>
      <c r="J480" s="5">
        <v>2</v>
      </c>
      <c r="K480" s="5" t="s">
        <v>102</v>
      </c>
      <c r="L480" s="5" t="s">
        <v>109</v>
      </c>
      <c r="M480" s="5" t="s">
        <v>94</v>
      </c>
      <c r="N480" s="5" t="s">
        <v>285</v>
      </c>
      <c r="O480" s="4"/>
      <c r="P480" s="24">
        <f t="shared" si="111"/>
        <v>13</v>
      </c>
      <c r="Q480" s="8">
        <f t="shared" si="112"/>
        <v>0</v>
      </c>
      <c r="R480" s="8">
        <f t="shared" si="113"/>
        <v>13</v>
      </c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>
        <v>1</v>
      </c>
      <c r="AN480" s="8"/>
      <c r="AO480" s="8"/>
      <c r="AP480" s="8"/>
      <c r="AQ480" s="8">
        <v>1</v>
      </c>
      <c r="AR480" s="8"/>
      <c r="AS480" s="8"/>
      <c r="AT480" s="8"/>
      <c r="AU480" s="8">
        <v>2</v>
      </c>
      <c r="AV480" s="8">
        <v>1</v>
      </c>
      <c r="AW480" s="8"/>
      <c r="AX480" s="8"/>
      <c r="AY480" s="8"/>
      <c r="AZ480" s="8">
        <v>6</v>
      </c>
      <c r="BA480" s="8"/>
      <c r="BB480" s="8"/>
      <c r="BC480" s="8"/>
      <c r="BD480" s="8">
        <v>2</v>
      </c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</row>
    <row r="481" spans="1:76" ht="16.5" customHeight="1" x14ac:dyDescent="0.3">
      <c r="G481" s="14">
        <v>1494376</v>
      </c>
      <c r="H481" s="15" t="s">
        <v>458</v>
      </c>
      <c r="I481" s="14" t="s">
        <v>253</v>
      </c>
      <c r="J481" s="14">
        <v>2</v>
      </c>
      <c r="K481" s="14" t="s">
        <v>254</v>
      </c>
      <c r="L481" s="14" t="s">
        <v>255</v>
      </c>
      <c r="M481" s="14" t="s">
        <v>94</v>
      </c>
      <c r="N481" s="14" t="s">
        <v>110</v>
      </c>
      <c r="O481" s="13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</row>
    <row r="482" spans="1:76" ht="16.5" customHeight="1" x14ac:dyDescent="0.3">
      <c r="A482" t="s">
        <v>724</v>
      </c>
      <c r="B482" t="s">
        <v>656</v>
      </c>
      <c r="C482" t="s">
        <v>805</v>
      </c>
      <c r="D482" t="s">
        <v>814</v>
      </c>
      <c r="E482" t="s">
        <v>814</v>
      </c>
      <c r="F482" t="s">
        <v>814</v>
      </c>
      <c r="G482" s="5">
        <v>1494376</v>
      </c>
      <c r="H482" s="38" t="s">
        <v>459</v>
      </c>
      <c r="I482" s="5" t="s">
        <v>253</v>
      </c>
      <c r="J482" s="5">
        <v>2</v>
      </c>
      <c r="K482" s="5" t="s">
        <v>254</v>
      </c>
      <c r="L482" s="5" t="s">
        <v>255</v>
      </c>
      <c r="M482" s="5" t="s">
        <v>94</v>
      </c>
      <c r="N482" s="5" t="s">
        <v>110</v>
      </c>
      <c r="O482" s="4"/>
      <c r="P482" s="24">
        <f t="shared" ref="P482:P488" si="114">SUM(Q482,R482)</f>
        <v>1</v>
      </c>
      <c r="Q482" s="8">
        <f t="shared" ref="Q482:Q488" si="115">S482</f>
        <v>0</v>
      </c>
      <c r="R482" s="8">
        <f t="shared" ref="R482:R488" si="116">SUM(T482:BX482)</f>
        <v>1</v>
      </c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>
        <v>1</v>
      </c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</row>
    <row r="483" spans="1:76" ht="16.5" customHeight="1" x14ac:dyDescent="0.3">
      <c r="A483" t="s">
        <v>724</v>
      </c>
      <c r="B483" t="s">
        <v>656</v>
      </c>
      <c r="C483" t="s">
        <v>805</v>
      </c>
      <c r="D483" t="s">
        <v>814</v>
      </c>
      <c r="E483" t="s">
        <v>815</v>
      </c>
      <c r="F483" t="s">
        <v>815</v>
      </c>
      <c r="G483" s="5">
        <v>1494377</v>
      </c>
      <c r="H483" s="7" t="s">
        <v>460</v>
      </c>
      <c r="I483" s="5" t="s">
        <v>253</v>
      </c>
      <c r="J483" s="5">
        <v>2</v>
      </c>
      <c r="K483" s="5" t="s">
        <v>102</v>
      </c>
      <c r="L483" s="5" t="s">
        <v>109</v>
      </c>
      <c r="M483" s="5" t="s">
        <v>94</v>
      </c>
      <c r="N483" s="5" t="s">
        <v>283</v>
      </c>
      <c r="O483" s="4"/>
      <c r="P483" s="24">
        <f t="shared" si="114"/>
        <v>19</v>
      </c>
      <c r="Q483" s="8">
        <f t="shared" si="115"/>
        <v>0</v>
      </c>
      <c r="R483" s="8">
        <f t="shared" si="116"/>
        <v>19</v>
      </c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>
        <v>1</v>
      </c>
      <c r="AK483" s="8"/>
      <c r="AL483" s="8"/>
      <c r="AM483" s="8"/>
      <c r="AN483" s="8">
        <v>1</v>
      </c>
      <c r="AO483" s="8"/>
      <c r="AP483" s="8">
        <v>1</v>
      </c>
      <c r="AQ483" s="8"/>
      <c r="AR483" s="8"/>
      <c r="AS483" s="8"/>
      <c r="AT483" s="8"/>
      <c r="AU483" s="8"/>
      <c r="AV483" s="8"/>
      <c r="AW483" s="8"/>
      <c r="AX483" s="8"/>
      <c r="AY483" s="8">
        <v>4</v>
      </c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>
        <v>4</v>
      </c>
      <c r="BK483" s="8"/>
      <c r="BL483" s="8">
        <v>1</v>
      </c>
      <c r="BM483" s="8"/>
      <c r="BN483" s="8"/>
      <c r="BO483" s="8"/>
      <c r="BP483" s="8"/>
      <c r="BQ483" s="8">
        <v>6</v>
      </c>
      <c r="BR483" s="8"/>
      <c r="BS483" s="8">
        <v>1</v>
      </c>
      <c r="BT483" s="8"/>
      <c r="BU483" s="8"/>
      <c r="BV483" s="8"/>
      <c r="BW483" s="8"/>
      <c r="BX483" s="8"/>
    </row>
    <row r="484" spans="1:76" ht="16.5" customHeight="1" x14ac:dyDescent="0.3">
      <c r="A484" t="s">
        <v>724</v>
      </c>
      <c r="B484" t="s">
        <v>656</v>
      </c>
      <c r="C484" t="s">
        <v>805</v>
      </c>
      <c r="D484" t="s">
        <v>814</v>
      </c>
      <c r="E484" t="s">
        <v>816</v>
      </c>
      <c r="F484" t="s">
        <v>816</v>
      </c>
      <c r="G484" s="5">
        <v>1494887</v>
      </c>
      <c r="H484" s="7" t="s">
        <v>461</v>
      </c>
      <c r="I484" s="5" t="s">
        <v>253</v>
      </c>
      <c r="J484" s="5">
        <v>2</v>
      </c>
      <c r="K484" s="5" t="s">
        <v>102</v>
      </c>
      <c r="L484" s="5" t="s">
        <v>109</v>
      </c>
      <c r="M484" s="5" t="s">
        <v>94</v>
      </c>
      <c r="N484" s="5" t="s">
        <v>283</v>
      </c>
      <c r="O484" s="4"/>
      <c r="P484" s="24">
        <f t="shared" si="114"/>
        <v>8</v>
      </c>
      <c r="Q484" s="8">
        <f t="shared" si="115"/>
        <v>0</v>
      </c>
      <c r="R484" s="8">
        <f t="shared" si="116"/>
        <v>8</v>
      </c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>
        <v>1</v>
      </c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>
        <v>2</v>
      </c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>
        <v>1</v>
      </c>
      <c r="BK484" s="8"/>
      <c r="BL484" s="8">
        <v>1</v>
      </c>
      <c r="BM484" s="8"/>
      <c r="BN484" s="8"/>
      <c r="BO484" s="8">
        <v>1</v>
      </c>
      <c r="BP484" s="8"/>
      <c r="BQ484" s="8">
        <v>1</v>
      </c>
      <c r="BR484" s="8"/>
      <c r="BS484" s="8">
        <v>1</v>
      </c>
      <c r="BT484" s="8"/>
      <c r="BU484" s="8"/>
      <c r="BV484" s="8"/>
      <c r="BW484" s="8"/>
      <c r="BX484" s="8"/>
    </row>
    <row r="485" spans="1:76" ht="16.5" customHeight="1" x14ac:dyDescent="0.3">
      <c r="A485" t="s">
        <v>724</v>
      </c>
      <c r="B485" t="s">
        <v>656</v>
      </c>
      <c r="C485" t="s">
        <v>805</v>
      </c>
      <c r="D485" t="s">
        <v>814</v>
      </c>
      <c r="E485" t="s">
        <v>665</v>
      </c>
      <c r="F485" t="s">
        <v>727</v>
      </c>
      <c r="G485" s="5">
        <v>1494865</v>
      </c>
      <c r="H485" s="7" t="s">
        <v>284</v>
      </c>
      <c r="I485" s="5" t="s">
        <v>253</v>
      </c>
      <c r="J485" s="5">
        <v>2</v>
      </c>
      <c r="K485" s="5" t="s">
        <v>102</v>
      </c>
      <c r="L485" s="5" t="s">
        <v>109</v>
      </c>
      <c r="M485" s="5" t="s">
        <v>94</v>
      </c>
      <c r="N485" s="5" t="s">
        <v>285</v>
      </c>
      <c r="O485" s="4"/>
      <c r="P485" s="24">
        <f t="shared" si="114"/>
        <v>11</v>
      </c>
      <c r="Q485" s="8">
        <f t="shared" si="115"/>
        <v>0</v>
      </c>
      <c r="R485" s="8">
        <f t="shared" si="116"/>
        <v>11</v>
      </c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>
        <v>1</v>
      </c>
      <c r="AK485" s="8"/>
      <c r="AL485" s="8"/>
      <c r="AM485" s="8"/>
      <c r="AN485" s="8">
        <v>1</v>
      </c>
      <c r="AO485" s="8"/>
      <c r="AP485" s="8">
        <v>1</v>
      </c>
      <c r="AQ485" s="8"/>
      <c r="AR485" s="8"/>
      <c r="AS485" s="8"/>
      <c r="AT485" s="8"/>
      <c r="AU485" s="8"/>
      <c r="AV485" s="8"/>
      <c r="AW485" s="8">
        <v>1</v>
      </c>
      <c r="AX485" s="8"/>
      <c r="AY485" s="8">
        <v>1</v>
      </c>
      <c r="AZ485" s="8"/>
      <c r="BA485" s="8"/>
      <c r="BB485" s="8"/>
      <c r="BC485" s="8"/>
      <c r="BD485" s="8"/>
      <c r="BE485" s="8"/>
      <c r="BF485" s="8"/>
      <c r="BG485" s="8"/>
      <c r="BH485" s="8">
        <v>1</v>
      </c>
      <c r="BI485" s="8"/>
      <c r="BJ485" s="8"/>
      <c r="BK485" s="8"/>
      <c r="BL485" s="8">
        <v>1</v>
      </c>
      <c r="BM485" s="8"/>
      <c r="BN485" s="8"/>
      <c r="BO485" s="8">
        <v>1</v>
      </c>
      <c r="BP485" s="8"/>
      <c r="BQ485" s="8"/>
      <c r="BR485" s="8"/>
      <c r="BS485" s="8">
        <v>1</v>
      </c>
      <c r="BT485" s="8">
        <v>1</v>
      </c>
      <c r="BU485" s="8"/>
      <c r="BV485" s="8">
        <v>1</v>
      </c>
      <c r="BW485" s="8"/>
      <c r="BX485" s="8"/>
    </row>
    <row r="486" spans="1:76" ht="16.5" customHeight="1" x14ac:dyDescent="0.3">
      <c r="A486" t="s">
        <v>724</v>
      </c>
      <c r="B486" t="s">
        <v>656</v>
      </c>
      <c r="C486" t="s">
        <v>805</v>
      </c>
      <c r="D486" t="s">
        <v>814</v>
      </c>
      <c r="E486" t="s">
        <v>747</v>
      </c>
      <c r="F486" t="s">
        <v>747</v>
      </c>
      <c r="G486" s="5">
        <v>1495088</v>
      </c>
      <c r="H486" s="7" t="s">
        <v>367</v>
      </c>
      <c r="I486" s="5" t="s">
        <v>253</v>
      </c>
      <c r="J486" s="5">
        <v>2</v>
      </c>
      <c r="K486" s="5" t="s">
        <v>102</v>
      </c>
      <c r="L486" s="5" t="s">
        <v>109</v>
      </c>
      <c r="M486" s="5" t="s">
        <v>94</v>
      </c>
      <c r="N486" s="5" t="s">
        <v>285</v>
      </c>
      <c r="O486" s="4"/>
      <c r="P486" s="24">
        <f t="shared" si="114"/>
        <v>13</v>
      </c>
      <c r="Q486" s="8">
        <f t="shared" si="115"/>
        <v>0</v>
      </c>
      <c r="R486" s="8">
        <f t="shared" si="116"/>
        <v>13</v>
      </c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>
        <v>1</v>
      </c>
      <c r="AJ486" s="8"/>
      <c r="AK486" s="8"/>
      <c r="AL486" s="8"/>
      <c r="AM486" s="8"/>
      <c r="AN486" s="8">
        <v>5</v>
      </c>
      <c r="AO486" s="8"/>
      <c r="AP486" s="8"/>
      <c r="AQ486" s="8"/>
      <c r="AR486" s="8"/>
      <c r="AS486" s="8"/>
      <c r="AT486" s="8"/>
      <c r="AU486" s="8"/>
      <c r="AV486" s="8"/>
      <c r="AW486" s="8">
        <v>4</v>
      </c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>
        <v>2</v>
      </c>
      <c r="BI486" s="8"/>
      <c r="BJ486" s="8"/>
      <c r="BK486" s="8"/>
      <c r="BL486" s="8"/>
      <c r="BM486" s="8"/>
      <c r="BN486" s="8"/>
      <c r="BO486" s="8">
        <v>1</v>
      </c>
      <c r="BP486" s="8"/>
      <c r="BQ486" s="8"/>
      <c r="BR486" s="8"/>
      <c r="BS486" s="8"/>
      <c r="BT486" s="8"/>
      <c r="BU486" s="8"/>
      <c r="BV486" s="8"/>
      <c r="BW486" s="8"/>
      <c r="BX486" s="8"/>
    </row>
    <row r="487" spans="1:76" ht="16.5" customHeight="1" x14ac:dyDescent="0.3">
      <c r="A487" t="s">
        <v>724</v>
      </c>
      <c r="B487" t="s">
        <v>656</v>
      </c>
      <c r="C487" t="s">
        <v>805</v>
      </c>
      <c r="D487" t="s">
        <v>814</v>
      </c>
      <c r="E487" t="s">
        <v>741</v>
      </c>
      <c r="F487" t="s">
        <v>741</v>
      </c>
      <c r="G487" s="5">
        <v>1495117</v>
      </c>
      <c r="H487" s="7" t="s">
        <v>291</v>
      </c>
      <c r="I487" s="5" t="s">
        <v>253</v>
      </c>
      <c r="J487" s="5">
        <v>2</v>
      </c>
      <c r="K487" s="5" t="s">
        <v>102</v>
      </c>
      <c r="L487" s="5" t="s">
        <v>109</v>
      </c>
      <c r="M487" s="5" t="s">
        <v>94</v>
      </c>
      <c r="N487" s="5" t="s">
        <v>285</v>
      </c>
      <c r="O487" s="4"/>
      <c r="P487" s="24">
        <f t="shared" si="114"/>
        <v>10</v>
      </c>
      <c r="Q487" s="8">
        <f t="shared" si="115"/>
        <v>0</v>
      </c>
      <c r="R487" s="8">
        <f t="shared" si="116"/>
        <v>10</v>
      </c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>
        <v>1</v>
      </c>
      <c r="AJ487" s="8"/>
      <c r="AK487" s="8"/>
      <c r="AL487" s="8"/>
      <c r="AM487" s="8"/>
      <c r="AN487" s="8">
        <v>3</v>
      </c>
      <c r="AO487" s="8"/>
      <c r="AP487" s="8"/>
      <c r="AQ487" s="8"/>
      <c r="AR487" s="8"/>
      <c r="AS487" s="8"/>
      <c r="AT487" s="8"/>
      <c r="AU487" s="8"/>
      <c r="AV487" s="8"/>
      <c r="AW487" s="8">
        <v>4</v>
      </c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>
        <v>1</v>
      </c>
      <c r="BI487" s="8"/>
      <c r="BJ487" s="8"/>
      <c r="BK487" s="8"/>
      <c r="BL487" s="8"/>
      <c r="BM487" s="8"/>
      <c r="BN487" s="8"/>
      <c r="BO487" s="8">
        <v>1</v>
      </c>
      <c r="BP487" s="8"/>
      <c r="BQ487" s="8"/>
      <c r="BR487" s="8"/>
      <c r="BS487" s="8"/>
      <c r="BT487" s="8"/>
      <c r="BU487" s="8"/>
      <c r="BV487" s="8"/>
      <c r="BW487" s="8"/>
      <c r="BX487" s="8"/>
    </row>
    <row r="488" spans="1:76" ht="16.5" customHeight="1" x14ac:dyDescent="0.3">
      <c r="A488" t="s">
        <v>724</v>
      </c>
      <c r="B488" t="s">
        <v>656</v>
      </c>
      <c r="C488" t="s">
        <v>805</v>
      </c>
      <c r="D488" t="s">
        <v>814</v>
      </c>
      <c r="E488" t="s">
        <v>735</v>
      </c>
      <c r="F488" t="s">
        <v>735</v>
      </c>
      <c r="G488" s="5">
        <v>1495152</v>
      </c>
      <c r="H488" s="7" t="s">
        <v>292</v>
      </c>
      <c r="I488" s="5" t="s">
        <v>253</v>
      </c>
      <c r="J488" s="5">
        <v>2</v>
      </c>
      <c r="K488" s="5" t="s">
        <v>102</v>
      </c>
      <c r="L488" s="5" t="s">
        <v>109</v>
      </c>
      <c r="M488" s="5" t="s">
        <v>94</v>
      </c>
      <c r="N488" s="5" t="s">
        <v>285</v>
      </c>
      <c r="O488" s="4"/>
      <c r="P488" s="24">
        <f t="shared" si="114"/>
        <v>12</v>
      </c>
      <c r="Q488" s="8">
        <f t="shared" si="115"/>
        <v>0</v>
      </c>
      <c r="R488" s="8">
        <f t="shared" si="116"/>
        <v>12</v>
      </c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>
        <v>1</v>
      </c>
      <c r="AK488" s="8"/>
      <c r="AL488" s="8"/>
      <c r="AM488" s="8"/>
      <c r="AN488" s="8"/>
      <c r="AO488" s="8"/>
      <c r="AP488" s="8"/>
      <c r="AQ488" s="8">
        <v>3</v>
      </c>
      <c r="AR488" s="8"/>
      <c r="AS488" s="8"/>
      <c r="AT488" s="8"/>
      <c r="AU488" s="8">
        <v>1</v>
      </c>
      <c r="AV488" s="8">
        <v>1</v>
      </c>
      <c r="AW488" s="8"/>
      <c r="AX488" s="8"/>
      <c r="AY488" s="8"/>
      <c r="AZ488" s="8">
        <v>4</v>
      </c>
      <c r="BA488" s="8"/>
      <c r="BB488" s="8"/>
      <c r="BC488" s="8"/>
      <c r="BD488" s="8"/>
      <c r="BE488" s="8">
        <v>1</v>
      </c>
      <c r="BF488" s="8"/>
      <c r="BG488" s="8"/>
      <c r="BH488" s="8">
        <v>1</v>
      </c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</row>
    <row r="489" spans="1:76" ht="16.5" customHeight="1" x14ac:dyDescent="0.3">
      <c r="G489" s="14">
        <v>1494380</v>
      </c>
      <c r="H489" s="15" t="s">
        <v>462</v>
      </c>
      <c r="I489" s="14" t="s">
        <v>253</v>
      </c>
      <c r="J489" s="14">
        <v>2</v>
      </c>
      <c r="K489" s="14" t="s">
        <v>254</v>
      </c>
      <c r="L489" s="14" t="s">
        <v>255</v>
      </c>
      <c r="M489" s="14" t="s">
        <v>94</v>
      </c>
      <c r="N489" s="14" t="s">
        <v>110</v>
      </c>
      <c r="O489" s="13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</row>
    <row r="490" spans="1:76" ht="16.5" customHeight="1" x14ac:dyDescent="0.3">
      <c r="A490" t="s">
        <v>724</v>
      </c>
      <c r="B490" t="s">
        <v>656</v>
      </c>
      <c r="C490" t="s">
        <v>805</v>
      </c>
      <c r="D490" t="s">
        <v>817</v>
      </c>
      <c r="E490" t="s">
        <v>817</v>
      </c>
      <c r="F490" t="s">
        <v>817</v>
      </c>
      <c r="G490" s="5">
        <v>1494380</v>
      </c>
      <c r="H490" s="38" t="s">
        <v>463</v>
      </c>
      <c r="I490" s="5" t="s">
        <v>253</v>
      </c>
      <c r="J490" s="5">
        <v>2</v>
      </c>
      <c r="K490" s="5" t="s">
        <v>254</v>
      </c>
      <c r="L490" s="5" t="s">
        <v>255</v>
      </c>
      <c r="M490" s="5" t="s">
        <v>94</v>
      </c>
      <c r="N490" s="5" t="s">
        <v>110</v>
      </c>
      <c r="O490" s="4"/>
      <c r="P490" s="24">
        <f t="shared" ref="P490:P496" si="117">SUM(Q490,R490)</f>
        <v>1</v>
      </c>
      <c r="Q490" s="8">
        <f t="shared" ref="Q490:Q496" si="118">S490</f>
        <v>0</v>
      </c>
      <c r="R490" s="8">
        <f t="shared" ref="R490:R496" si="119">SUM(T490:BX490)</f>
        <v>1</v>
      </c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>
        <v>1</v>
      </c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</row>
    <row r="491" spans="1:76" ht="16.5" customHeight="1" x14ac:dyDescent="0.3">
      <c r="A491" t="s">
        <v>724</v>
      </c>
      <c r="B491" t="s">
        <v>656</v>
      </c>
      <c r="C491" t="s">
        <v>805</v>
      </c>
      <c r="D491" t="s">
        <v>817</v>
      </c>
      <c r="E491" t="s">
        <v>818</v>
      </c>
      <c r="F491" t="s">
        <v>818</v>
      </c>
      <c r="G491" s="5">
        <v>1494381</v>
      </c>
      <c r="H491" s="7" t="s">
        <v>464</v>
      </c>
      <c r="I491" s="5" t="s">
        <v>253</v>
      </c>
      <c r="J491" s="5">
        <v>2</v>
      </c>
      <c r="K491" s="5" t="s">
        <v>102</v>
      </c>
      <c r="L491" s="5" t="s">
        <v>109</v>
      </c>
      <c r="M491" s="5" t="s">
        <v>94</v>
      </c>
      <c r="N491" s="5" t="s">
        <v>283</v>
      </c>
      <c r="O491" s="4"/>
      <c r="P491" s="24">
        <f t="shared" si="117"/>
        <v>21</v>
      </c>
      <c r="Q491" s="8">
        <f t="shared" si="118"/>
        <v>0</v>
      </c>
      <c r="R491" s="8">
        <f t="shared" si="119"/>
        <v>21</v>
      </c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>
        <v>1</v>
      </c>
      <c r="AK491" s="8"/>
      <c r="AL491" s="8"/>
      <c r="AM491" s="8"/>
      <c r="AN491" s="8"/>
      <c r="AO491" s="8"/>
      <c r="AP491" s="8">
        <v>2</v>
      </c>
      <c r="AQ491" s="8"/>
      <c r="AR491" s="8"/>
      <c r="AS491" s="8"/>
      <c r="AT491" s="8"/>
      <c r="AU491" s="8"/>
      <c r="AV491" s="8"/>
      <c r="AW491" s="8">
        <v>1</v>
      </c>
      <c r="AX491" s="8"/>
      <c r="AY491" s="8">
        <v>3</v>
      </c>
      <c r="AZ491" s="8"/>
      <c r="BA491" s="8"/>
      <c r="BB491" s="8"/>
      <c r="BC491" s="8">
        <v>1</v>
      </c>
      <c r="BD491" s="8"/>
      <c r="BE491" s="8"/>
      <c r="BF491" s="8"/>
      <c r="BG491" s="8"/>
      <c r="BH491" s="8">
        <v>1</v>
      </c>
      <c r="BI491" s="8"/>
      <c r="BJ491" s="8">
        <v>4</v>
      </c>
      <c r="BK491" s="8"/>
      <c r="BL491" s="8">
        <v>1</v>
      </c>
      <c r="BM491" s="8"/>
      <c r="BN491" s="8"/>
      <c r="BO491" s="8"/>
      <c r="BP491" s="8"/>
      <c r="BQ491" s="8">
        <v>5</v>
      </c>
      <c r="BR491" s="8"/>
      <c r="BS491" s="8">
        <v>2</v>
      </c>
      <c r="BT491" s="8"/>
      <c r="BU491" s="8"/>
      <c r="BV491" s="8"/>
      <c r="BW491" s="8"/>
      <c r="BX491" s="8"/>
    </row>
    <row r="492" spans="1:76" ht="16.5" customHeight="1" x14ac:dyDescent="0.3">
      <c r="A492" t="s">
        <v>724</v>
      </c>
      <c r="B492" t="s">
        <v>656</v>
      </c>
      <c r="C492" t="s">
        <v>805</v>
      </c>
      <c r="D492" t="s">
        <v>817</v>
      </c>
      <c r="E492" t="s">
        <v>819</v>
      </c>
      <c r="F492" t="s">
        <v>819</v>
      </c>
      <c r="G492" s="5">
        <v>1494926</v>
      </c>
      <c r="H492" s="7" t="s">
        <v>465</v>
      </c>
      <c r="I492" s="5" t="s">
        <v>253</v>
      </c>
      <c r="J492" s="5">
        <v>2</v>
      </c>
      <c r="K492" s="5" t="s">
        <v>102</v>
      </c>
      <c r="L492" s="5" t="s">
        <v>109</v>
      </c>
      <c r="M492" s="5" t="s">
        <v>94</v>
      </c>
      <c r="N492" s="5" t="s">
        <v>283</v>
      </c>
      <c r="O492" s="4"/>
      <c r="P492" s="24">
        <f t="shared" si="117"/>
        <v>7</v>
      </c>
      <c r="Q492" s="8">
        <f t="shared" si="118"/>
        <v>0</v>
      </c>
      <c r="R492" s="8">
        <f t="shared" si="119"/>
        <v>7</v>
      </c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>
        <v>1</v>
      </c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>
        <v>1</v>
      </c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>
        <v>3</v>
      </c>
      <c r="BK492" s="8"/>
      <c r="BL492" s="8"/>
      <c r="BM492" s="8"/>
      <c r="BN492" s="8"/>
      <c r="BO492" s="8"/>
      <c r="BP492" s="8"/>
      <c r="BQ492" s="8">
        <v>2</v>
      </c>
      <c r="BR492" s="8"/>
      <c r="BS492" s="8"/>
      <c r="BT492" s="8"/>
      <c r="BU492" s="8"/>
      <c r="BV492" s="8"/>
      <c r="BW492" s="8"/>
      <c r="BX492" s="8"/>
    </row>
    <row r="493" spans="1:76" ht="16.5" customHeight="1" x14ac:dyDescent="0.3">
      <c r="A493" t="s">
        <v>724</v>
      </c>
      <c r="B493" t="s">
        <v>656</v>
      </c>
      <c r="C493" t="s">
        <v>805</v>
      </c>
      <c r="D493" t="s">
        <v>817</v>
      </c>
      <c r="E493" t="s">
        <v>665</v>
      </c>
      <c r="F493" t="s">
        <v>727</v>
      </c>
      <c r="G493" s="5">
        <v>1494866</v>
      </c>
      <c r="H493" s="7" t="s">
        <v>284</v>
      </c>
      <c r="I493" s="5" t="s">
        <v>253</v>
      </c>
      <c r="J493" s="5">
        <v>2</v>
      </c>
      <c r="K493" s="5" t="s">
        <v>102</v>
      </c>
      <c r="L493" s="5" t="s">
        <v>109</v>
      </c>
      <c r="M493" s="5" t="s">
        <v>94</v>
      </c>
      <c r="N493" s="5" t="s">
        <v>285</v>
      </c>
      <c r="O493" s="4"/>
      <c r="P493" s="24">
        <f t="shared" si="117"/>
        <v>9</v>
      </c>
      <c r="Q493" s="8">
        <f t="shared" si="118"/>
        <v>0</v>
      </c>
      <c r="R493" s="8">
        <f t="shared" si="119"/>
        <v>9</v>
      </c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>
        <v>1</v>
      </c>
      <c r="AK493" s="8"/>
      <c r="AL493" s="8"/>
      <c r="AM493" s="8"/>
      <c r="AN493" s="8">
        <v>1</v>
      </c>
      <c r="AO493" s="8"/>
      <c r="AP493" s="8"/>
      <c r="AQ493" s="8"/>
      <c r="AR493" s="8"/>
      <c r="AS493" s="8"/>
      <c r="AT493" s="8"/>
      <c r="AU493" s="8"/>
      <c r="AV493" s="8"/>
      <c r="AW493" s="8">
        <v>1</v>
      </c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>
        <v>1</v>
      </c>
      <c r="BI493" s="8"/>
      <c r="BJ493" s="8"/>
      <c r="BK493" s="8"/>
      <c r="BL493" s="8">
        <v>1</v>
      </c>
      <c r="BM493" s="8"/>
      <c r="BN493" s="8"/>
      <c r="BO493" s="8">
        <v>1</v>
      </c>
      <c r="BP493" s="8"/>
      <c r="BQ493" s="8">
        <v>1</v>
      </c>
      <c r="BR493" s="8"/>
      <c r="BS493" s="8">
        <v>1</v>
      </c>
      <c r="BT493" s="8"/>
      <c r="BU493" s="8"/>
      <c r="BV493" s="8">
        <v>1</v>
      </c>
      <c r="BW493" s="8"/>
      <c r="BX493" s="8"/>
    </row>
    <row r="494" spans="1:76" ht="16.5" customHeight="1" x14ac:dyDescent="0.3">
      <c r="A494" t="s">
        <v>724</v>
      </c>
      <c r="B494" t="s">
        <v>656</v>
      </c>
      <c r="C494" t="s">
        <v>805</v>
      </c>
      <c r="D494" t="s">
        <v>817</v>
      </c>
      <c r="E494" t="s">
        <v>747</v>
      </c>
      <c r="F494" t="s">
        <v>747</v>
      </c>
      <c r="G494" s="5">
        <v>1495086</v>
      </c>
      <c r="H494" s="7" t="s">
        <v>367</v>
      </c>
      <c r="I494" s="5" t="s">
        <v>253</v>
      </c>
      <c r="J494" s="5">
        <v>2</v>
      </c>
      <c r="K494" s="5" t="s">
        <v>102</v>
      </c>
      <c r="L494" s="5" t="s">
        <v>109</v>
      </c>
      <c r="M494" s="5" t="s">
        <v>94</v>
      </c>
      <c r="N494" s="5" t="s">
        <v>285</v>
      </c>
      <c r="O494" s="4"/>
      <c r="P494" s="24">
        <f t="shared" si="117"/>
        <v>15</v>
      </c>
      <c r="Q494" s="8">
        <f t="shared" si="118"/>
        <v>0</v>
      </c>
      <c r="R494" s="8">
        <f t="shared" si="119"/>
        <v>15</v>
      </c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>
        <v>1</v>
      </c>
      <c r="AJ494" s="8"/>
      <c r="AK494" s="8"/>
      <c r="AL494" s="8"/>
      <c r="AM494" s="8"/>
      <c r="AN494" s="8">
        <v>6</v>
      </c>
      <c r="AO494" s="8"/>
      <c r="AP494" s="8"/>
      <c r="AQ494" s="8"/>
      <c r="AR494" s="8"/>
      <c r="AS494" s="8"/>
      <c r="AT494" s="8"/>
      <c r="AU494" s="8"/>
      <c r="AV494" s="8"/>
      <c r="AW494" s="8">
        <v>5</v>
      </c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>
        <v>2</v>
      </c>
      <c r="BI494" s="8"/>
      <c r="BJ494" s="8"/>
      <c r="BK494" s="8"/>
      <c r="BL494" s="8"/>
      <c r="BM494" s="8"/>
      <c r="BN494" s="8"/>
      <c r="BO494" s="8">
        <v>1</v>
      </c>
      <c r="BP494" s="8"/>
      <c r="BQ494" s="8"/>
      <c r="BR494" s="8"/>
      <c r="BS494" s="8"/>
      <c r="BT494" s="8"/>
      <c r="BU494" s="8"/>
      <c r="BV494" s="8"/>
      <c r="BW494" s="8"/>
      <c r="BX494" s="8"/>
    </row>
    <row r="495" spans="1:76" ht="16.5" customHeight="1" x14ac:dyDescent="0.3">
      <c r="A495" t="s">
        <v>724</v>
      </c>
      <c r="B495" t="s">
        <v>656</v>
      </c>
      <c r="C495" t="s">
        <v>805</v>
      </c>
      <c r="D495" t="s">
        <v>817</v>
      </c>
      <c r="E495" t="s">
        <v>741</v>
      </c>
      <c r="F495" t="s">
        <v>741</v>
      </c>
      <c r="G495" s="5">
        <v>1495114</v>
      </c>
      <c r="H495" s="7" t="s">
        <v>291</v>
      </c>
      <c r="I495" s="5" t="s">
        <v>253</v>
      </c>
      <c r="J495" s="5">
        <v>2</v>
      </c>
      <c r="K495" s="5" t="s">
        <v>102</v>
      </c>
      <c r="L495" s="5" t="s">
        <v>109</v>
      </c>
      <c r="M495" s="5" t="s">
        <v>94</v>
      </c>
      <c r="N495" s="5" t="s">
        <v>285</v>
      </c>
      <c r="O495" s="4"/>
      <c r="P495" s="24">
        <f t="shared" si="117"/>
        <v>10</v>
      </c>
      <c r="Q495" s="8">
        <f t="shared" si="118"/>
        <v>0</v>
      </c>
      <c r="R495" s="8">
        <f t="shared" si="119"/>
        <v>10</v>
      </c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>
        <v>1</v>
      </c>
      <c r="AJ495" s="8"/>
      <c r="AK495" s="8"/>
      <c r="AL495" s="8"/>
      <c r="AM495" s="8"/>
      <c r="AN495" s="8">
        <v>3</v>
      </c>
      <c r="AO495" s="8"/>
      <c r="AP495" s="8"/>
      <c r="AQ495" s="8"/>
      <c r="AR495" s="8"/>
      <c r="AS495" s="8"/>
      <c r="AT495" s="8"/>
      <c r="AU495" s="8"/>
      <c r="AV495" s="8"/>
      <c r="AW495" s="8">
        <v>4</v>
      </c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>
        <v>1</v>
      </c>
      <c r="BI495" s="8"/>
      <c r="BJ495" s="8"/>
      <c r="BK495" s="8"/>
      <c r="BL495" s="8"/>
      <c r="BM495" s="8"/>
      <c r="BN495" s="8"/>
      <c r="BO495" s="8">
        <v>1</v>
      </c>
      <c r="BP495" s="8"/>
      <c r="BQ495" s="8"/>
      <c r="BR495" s="8"/>
      <c r="BS495" s="8"/>
      <c r="BT495" s="8"/>
      <c r="BU495" s="8"/>
      <c r="BV495" s="8"/>
      <c r="BW495" s="8"/>
      <c r="BX495" s="8"/>
    </row>
    <row r="496" spans="1:76" ht="16.5" customHeight="1" x14ac:dyDescent="0.3">
      <c r="A496" t="s">
        <v>724</v>
      </c>
      <c r="B496" t="s">
        <v>656</v>
      </c>
      <c r="C496" t="s">
        <v>805</v>
      </c>
      <c r="D496" t="s">
        <v>817</v>
      </c>
      <c r="E496" t="s">
        <v>735</v>
      </c>
      <c r="F496" t="s">
        <v>735</v>
      </c>
      <c r="G496" s="5">
        <v>1495149</v>
      </c>
      <c r="H496" s="7" t="s">
        <v>292</v>
      </c>
      <c r="I496" s="5" t="s">
        <v>253</v>
      </c>
      <c r="J496" s="5">
        <v>2</v>
      </c>
      <c r="K496" s="5" t="s">
        <v>102</v>
      </c>
      <c r="L496" s="5" t="s">
        <v>109</v>
      </c>
      <c r="M496" s="5" t="s">
        <v>94</v>
      </c>
      <c r="N496" s="5" t="s">
        <v>285</v>
      </c>
      <c r="O496" s="4"/>
      <c r="P496" s="24">
        <f t="shared" si="117"/>
        <v>12</v>
      </c>
      <c r="Q496" s="8">
        <f t="shared" si="118"/>
        <v>0</v>
      </c>
      <c r="R496" s="8">
        <f t="shared" si="119"/>
        <v>12</v>
      </c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>
        <v>1</v>
      </c>
      <c r="AK496" s="8"/>
      <c r="AL496" s="8"/>
      <c r="AM496" s="8"/>
      <c r="AN496" s="8"/>
      <c r="AO496" s="8"/>
      <c r="AP496" s="8"/>
      <c r="AQ496" s="8">
        <v>3</v>
      </c>
      <c r="AR496" s="8"/>
      <c r="AS496" s="8"/>
      <c r="AT496" s="8"/>
      <c r="AU496" s="8">
        <v>1</v>
      </c>
      <c r="AV496" s="8"/>
      <c r="AW496" s="8"/>
      <c r="AX496" s="8"/>
      <c r="AY496" s="8"/>
      <c r="AZ496" s="8">
        <v>4</v>
      </c>
      <c r="BA496" s="8"/>
      <c r="BB496" s="8"/>
      <c r="BC496" s="8"/>
      <c r="BD496" s="8">
        <v>1</v>
      </c>
      <c r="BE496" s="8"/>
      <c r="BF496" s="8"/>
      <c r="BG496" s="8"/>
      <c r="BH496" s="8">
        <v>2</v>
      </c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</row>
    <row r="497" spans="1:76" ht="16.5" customHeight="1" x14ac:dyDescent="0.3">
      <c r="G497" s="14">
        <v>1494384</v>
      </c>
      <c r="H497" s="15" t="s">
        <v>466</v>
      </c>
      <c r="I497" s="14" t="s">
        <v>253</v>
      </c>
      <c r="J497" s="14">
        <v>2</v>
      </c>
      <c r="K497" s="14" t="s">
        <v>254</v>
      </c>
      <c r="L497" s="14" t="s">
        <v>255</v>
      </c>
      <c r="M497" s="14" t="s">
        <v>94</v>
      </c>
      <c r="N497" s="14" t="s">
        <v>110</v>
      </c>
      <c r="O497" s="13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</row>
    <row r="498" spans="1:76" ht="16.5" customHeight="1" x14ac:dyDescent="0.3">
      <c r="A498" t="s">
        <v>724</v>
      </c>
      <c r="B498" t="s">
        <v>656</v>
      </c>
      <c r="C498" t="s">
        <v>805</v>
      </c>
      <c r="D498" t="s">
        <v>820</v>
      </c>
      <c r="E498" t="s">
        <v>820</v>
      </c>
      <c r="F498" t="s">
        <v>820</v>
      </c>
      <c r="G498" s="5">
        <v>1494384</v>
      </c>
      <c r="H498" s="38" t="s">
        <v>467</v>
      </c>
      <c r="I498" s="5" t="s">
        <v>253</v>
      </c>
      <c r="J498" s="5">
        <v>2</v>
      </c>
      <c r="K498" s="5" t="s">
        <v>254</v>
      </c>
      <c r="L498" s="5" t="s">
        <v>255</v>
      </c>
      <c r="M498" s="5" t="s">
        <v>94</v>
      </c>
      <c r="N498" s="5" t="s">
        <v>110</v>
      </c>
      <c r="O498" s="4"/>
      <c r="P498" s="24">
        <f t="shared" ref="P498:P505" si="120">SUM(Q498,R498)</f>
        <v>1</v>
      </c>
      <c r="Q498" s="8">
        <f t="shared" ref="Q498:Q505" si="121">S498</f>
        <v>0</v>
      </c>
      <c r="R498" s="8">
        <f t="shared" ref="R498:R505" si="122">SUM(T498:BX498)</f>
        <v>1</v>
      </c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>
        <v>1</v>
      </c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</row>
    <row r="499" spans="1:76" ht="16.5" customHeight="1" x14ac:dyDescent="0.3">
      <c r="A499" t="s">
        <v>724</v>
      </c>
      <c r="B499" t="s">
        <v>656</v>
      </c>
      <c r="C499" t="s">
        <v>805</v>
      </c>
      <c r="D499" t="s">
        <v>820</v>
      </c>
      <c r="E499" t="s">
        <v>821</v>
      </c>
      <c r="F499" t="s">
        <v>821</v>
      </c>
      <c r="G499" s="5">
        <v>1494385</v>
      </c>
      <c r="H499" s="7" t="s">
        <v>468</v>
      </c>
      <c r="I499" s="5" t="s">
        <v>253</v>
      </c>
      <c r="J499" s="5">
        <v>2</v>
      </c>
      <c r="K499" s="5" t="s">
        <v>102</v>
      </c>
      <c r="L499" s="5" t="s">
        <v>109</v>
      </c>
      <c r="M499" s="5" t="s">
        <v>94</v>
      </c>
      <c r="N499" s="5" t="s">
        <v>283</v>
      </c>
      <c r="O499" s="4"/>
      <c r="P499" s="24">
        <f t="shared" si="120"/>
        <v>22</v>
      </c>
      <c r="Q499" s="8">
        <f t="shared" si="121"/>
        <v>0</v>
      </c>
      <c r="R499" s="8">
        <f t="shared" si="122"/>
        <v>22</v>
      </c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>
        <v>1</v>
      </c>
      <c r="AK499" s="8"/>
      <c r="AL499" s="8"/>
      <c r="AM499" s="8"/>
      <c r="AN499" s="8"/>
      <c r="AO499" s="8"/>
      <c r="AP499" s="8">
        <v>2</v>
      </c>
      <c r="AQ499" s="8"/>
      <c r="AR499" s="8"/>
      <c r="AS499" s="8"/>
      <c r="AT499" s="8"/>
      <c r="AU499" s="8"/>
      <c r="AV499" s="8"/>
      <c r="AW499" s="8">
        <v>1</v>
      </c>
      <c r="AX499" s="8"/>
      <c r="AY499" s="8">
        <v>4</v>
      </c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>
        <v>7</v>
      </c>
      <c r="BK499" s="8"/>
      <c r="BL499" s="8">
        <v>1</v>
      </c>
      <c r="BM499" s="8"/>
      <c r="BN499" s="8"/>
      <c r="BO499" s="8"/>
      <c r="BP499" s="8"/>
      <c r="BQ499" s="8">
        <v>4</v>
      </c>
      <c r="BR499" s="8"/>
      <c r="BS499" s="8">
        <v>2</v>
      </c>
      <c r="BT499" s="8"/>
      <c r="BU499" s="8"/>
      <c r="BV499" s="8"/>
      <c r="BW499" s="8"/>
      <c r="BX499" s="8"/>
    </row>
    <row r="500" spans="1:76" ht="16.5" customHeight="1" x14ac:dyDescent="0.3">
      <c r="A500" t="s">
        <v>724</v>
      </c>
      <c r="B500" t="s">
        <v>656</v>
      </c>
      <c r="C500" t="s">
        <v>805</v>
      </c>
      <c r="D500" t="s">
        <v>820</v>
      </c>
      <c r="E500" t="s">
        <v>822</v>
      </c>
      <c r="F500" t="s">
        <v>822</v>
      </c>
      <c r="G500" s="5">
        <v>1494733</v>
      </c>
      <c r="H500" s="7" t="s">
        <v>469</v>
      </c>
      <c r="I500" s="5" t="s">
        <v>253</v>
      </c>
      <c r="J500" s="5">
        <v>2</v>
      </c>
      <c r="K500" s="5" t="s">
        <v>102</v>
      </c>
      <c r="L500" s="5" t="s">
        <v>109</v>
      </c>
      <c r="M500" s="5" t="s">
        <v>94</v>
      </c>
      <c r="N500" s="5" t="s">
        <v>283</v>
      </c>
      <c r="O500" s="4"/>
      <c r="P500" s="24">
        <f t="shared" si="120"/>
        <v>9</v>
      </c>
      <c r="Q500" s="8">
        <f t="shared" si="121"/>
        <v>0</v>
      </c>
      <c r="R500" s="8">
        <f t="shared" si="122"/>
        <v>9</v>
      </c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>
        <v>1</v>
      </c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>
        <v>1</v>
      </c>
      <c r="AX500" s="8"/>
      <c r="AY500" s="8">
        <v>3</v>
      </c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>
        <v>1</v>
      </c>
      <c r="BK500" s="8"/>
      <c r="BL500" s="8">
        <v>1</v>
      </c>
      <c r="BM500" s="8"/>
      <c r="BN500" s="8"/>
      <c r="BO500" s="8"/>
      <c r="BP500" s="8"/>
      <c r="BQ500" s="8">
        <v>1</v>
      </c>
      <c r="BR500" s="8"/>
      <c r="BS500" s="8">
        <v>1</v>
      </c>
      <c r="BT500" s="8"/>
      <c r="BU500" s="8"/>
      <c r="BV500" s="8"/>
      <c r="BW500" s="8"/>
      <c r="BX500" s="8"/>
    </row>
    <row r="501" spans="1:76" ht="16.5" customHeight="1" x14ac:dyDescent="0.3">
      <c r="A501" t="s">
        <v>724</v>
      </c>
      <c r="B501" t="s">
        <v>656</v>
      </c>
      <c r="C501" t="s">
        <v>805</v>
      </c>
      <c r="D501" t="s">
        <v>820</v>
      </c>
      <c r="E501" t="s">
        <v>665</v>
      </c>
      <c r="F501" t="s">
        <v>727</v>
      </c>
      <c r="G501" s="5">
        <v>1494867</v>
      </c>
      <c r="H501" s="7" t="s">
        <v>284</v>
      </c>
      <c r="I501" s="5" t="s">
        <v>253</v>
      </c>
      <c r="J501" s="5">
        <v>2</v>
      </c>
      <c r="K501" s="5" t="s">
        <v>102</v>
      </c>
      <c r="L501" s="5" t="s">
        <v>109</v>
      </c>
      <c r="M501" s="5" t="s">
        <v>94</v>
      </c>
      <c r="N501" s="5" t="s">
        <v>285</v>
      </c>
      <c r="O501" s="4"/>
      <c r="P501" s="24">
        <f t="shared" si="120"/>
        <v>16</v>
      </c>
      <c r="Q501" s="8">
        <f t="shared" si="121"/>
        <v>0</v>
      </c>
      <c r="R501" s="8">
        <f t="shared" si="122"/>
        <v>16</v>
      </c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>
        <v>1</v>
      </c>
      <c r="AK501" s="8"/>
      <c r="AL501" s="8"/>
      <c r="AM501" s="8"/>
      <c r="AN501" s="8">
        <v>1</v>
      </c>
      <c r="AO501" s="8"/>
      <c r="AP501" s="8">
        <v>1</v>
      </c>
      <c r="AQ501" s="8"/>
      <c r="AR501" s="8"/>
      <c r="AS501" s="8"/>
      <c r="AT501" s="8"/>
      <c r="AU501" s="8"/>
      <c r="AV501" s="8"/>
      <c r="AW501" s="8">
        <v>1</v>
      </c>
      <c r="AX501" s="8"/>
      <c r="AY501" s="8">
        <v>2</v>
      </c>
      <c r="AZ501" s="8"/>
      <c r="BA501" s="8"/>
      <c r="BB501" s="8"/>
      <c r="BC501" s="8"/>
      <c r="BD501" s="8"/>
      <c r="BE501" s="8"/>
      <c r="BF501" s="8"/>
      <c r="BG501" s="8"/>
      <c r="BH501" s="8">
        <v>1</v>
      </c>
      <c r="BI501" s="8"/>
      <c r="BJ501" s="8">
        <v>2</v>
      </c>
      <c r="BK501" s="8"/>
      <c r="BL501" s="8">
        <v>1</v>
      </c>
      <c r="BM501" s="8"/>
      <c r="BN501" s="8"/>
      <c r="BO501" s="8">
        <v>1</v>
      </c>
      <c r="BP501" s="8"/>
      <c r="BQ501" s="8">
        <v>2</v>
      </c>
      <c r="BR501" s="8"/>
      <c r="BS501" s="8">
        <v>1</v>
      </c>
      <c r="BT501" s="8"/>
      <c r="BU501" s="8">
        <v>1</v>
      </c>
      <c r="BV501" s="8">
        <v>1</v>
      </c>
      <c r="BW501" s="8"/>
      <c r="BX501" s="8"/>
    </row>
    <row r="502" spans="1:76" ht="16.5" customHeight="1" x14ac:dyDescent="0.3">
      <c r="A502" t="s">
        <v>724</v>
      </c>
      <c r="B502" t="s">
        <v>656</v>
      </c>
      <c r="C502" t="s">
        <v>805</v>
      </c>
      <c r="D502" t="s">
        <v>820</v>
      </c>
      <c r="E502" t="s">
        <v>747</v>
      </c>
      <c r="F502" t="s">
        <v>747</v>
      </c>
      <c r="G502" s="5">
        <v>1495087</v>
      </c>
      <c r="H502" s="7" t="s">
        <v>367</v>
      </c>
      <c r="I502" s="5" t="s">
        <v>253</v>
      </c>
      <c r="J502" s="5">
        <v>2</v>
      </c>
      <c r="K502" s="5" t="s">
        <v>102</v>
      </c>
      <c r="L502" s="5" t="s">
        <v>109</v>
      </c>
      <c r="M502" s="5" t="s">
        <v>94</v>
      </c>
      <c r="N502" s="5" t="s">
        <v>285</v>
      </c>
      <c r="O502" s="4"/>
      <c r="P502" s="24">
        <f t="shared" si="120"/>
        <v>20</v>
      </c>
      <c r="Q502" s="8">
        <f t="shared" si="121"/>
        <v>0</v>
      </c>
      <c r="R502" s="8">
        <f t="shared" si="122"/>
        <v>20</v>
      </c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>
        <v>1</v>
      </c>
      <c r="AJ502" s="8"/>
      <c r="AK502" s="8"/>
      <c r="AL502" s="8"/>
      <c r="AM502" s="8"/>
      <c r="AN502" s="8">
        <v>8</v>
      </c>
      <c r="AO502" s="8"/>
      <c r="AP502" s="8"/>
      <c r="AQ502" s="8"/>
      <c r="AR502" s="8"/>
      <c r="AS502" s="8"/>
      <c r="AT502" s="8"/>
      <c r="AU502" s="8"/>
      <c r="AV502" s="8"/>
      <c r="AW502" s="8">
        <v>8</v>
      </c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>
        <v>2</v>
      </c>
      <c r="BI502" s="8"/>
      <c r="BJ502" s="8"/>
      <c r="BK502" s="8"/>
      <c r="BL502" s="8"/>
      <c r="BM502" s="8"/>
      <c r="BN502" s="8"/>
      <c r="BO502" s="8">
        <v>1</v>
      </c>
      <c r="BP502" s="8"/>
      <c r="BQ502" s="8"/>
      <c r="BR502" s="8"/>
      <c r="BS502" s="8"/>
      <c r="BT502" s="8"/>
      <c r="BU502" s="8"/>
      <c r="BV502" s="8"/>
      <c r="BW502" s="8"/>
      <c r="BX502" s="8"/>
    </row>
    <row r="503" spans="1:76" ht="16.5" customHeight="1" x14ac:dyDescent="0.3">
      <c r="A503" t="s">
        <v>724</v>
      </c>
      <c r="B503" t="s">
        <v>656</v>
      </c>
      <c r="C503" t="s">
        <v>805</v>
      </c>
      <c r="D503" t="s">
        <v>820</v>
      </c>
      <c r="E503" t="s">
        <v>741</v>
      </c>
      <c r="F503" t="s">
        <v>741</v>
      </c>
      <c r="G503" s="5">
        <v>1495115</v>
      </c>
      <c r="H503" s="7" t="s">
        <v>291</v>
      </c>
      <c r="I503" s="5" t="s">
        <v>253</v>
      </c>
      <c r="J503" s="5">
        <v>2</v>
      </c>
      <c r="K503" s="5" t="s">
        <v>102</v>
      </c>
      <c r="L503" s="5" t="s">
        <v>109</v>
      </c>
      <c r="M503" s="5" t="s">
        <v>94</v>
      </c>
      <c r="N503" s="5" t="s">
        <v>285</v>
      </c>
      <c r="O503" s="4"/>
      <c r="P503" s="24">
        <f t="shared" si="120"/>
        <v>10</v>
      </c>
      <c r="Q503" s="8">
        <f t="shared" si="121"/>
        <v>0</v>
      </c>
      <c r="R503" s="8">
        <f t="shared" si="122"/>
        <v>10</v>
      </c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>
        <v>1</v>
      </c>
      <c r="AJ503" s="8"/>
      <c r="AK503" s="8"/>
      <c r="AL503" s="8"/>
      <c r="AM503" s="8"/>
      <c r="AN503" s="8">
        <v>3</v>
      </c>
      <c r="AO503" s="8"/>
      <c r="AP503" s="8"/>
      <c r="AQ503" s="8"/>
      <c r="AR503" s="8"/>
      <c r="AS503" s="8"/>
      <c r="AT503" s="8"/>
      <c r="AU503" s="8"/>
      <c r="AV503" s="8"/>
      <c r="AW503" s="8">
        <v>4</v>
      </c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>
        <v>2</v>
      </c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</row>
    <row r="504" spans="1:76" ht="16.5" customHeight="1" x14ac:dyDescent="0.3">
      <c r="A504" t="s">
        <v>724</v>
      </c>
      <c r="B504" t="s">
        <v>656</v>
      </c>
      <c r="C504" t="s">
        <v>805</v>
      </c>
      <c r="D504" t="s">
        <v>820</v>
      </c>
      <c r="E504" t="s">
        <v>734</v>
      </c>
      <c r="F504" t="s">
        <v>734</v>
      </c>
      <c r="G504" s="5">
        <v>1495150</v>
      </c>
      <c r="H504" s="7" t="s">
        <v>297</v>
      </c>
      <c r="I504" s="5" t="s">
        <v>253</v>
      </c>
      <c r="J504" s="5">
        <v>2</v>
      </c>
      <c r="K504" s="5" t="s">
        <v>102</v>
      </c>
      <c r="L504" s="5" t="s">
        <v>109</v>
      </c>
      <c r="M504" s="5" t="s">
        <v>94</v>
      </c>
      <c r="N504" s="5" t="s">
        <v>285</v>
      </c>
      <c r="O504" s="4"/>
      <c r="P504" s="24">
        <f t="shared" si="120"/>
        <v>5</v>
      </c>
      <c r="Q504" s="8">
        <f t="shared" si="121"/>
        <v>0</v>
      </c>
      <c r="R504" s="8">
        <f t="shared" si="122"/>
        <v>5</v>
      </c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>
        <v>1</v>
      </c>
      <c r="AL504" s="8"/>
      <c r="AM504" s="8"/>
      <c r="AN504" s="8"/>
      <c r="AO504" s="8"/>
      <c r="AP504" s="8"/>
      <c r="AQ504" s="8">
        <v>2</v>
      </c>
      <c r="AR504" s="8"/>
      <c r="AS504" s="8"/>
      <c r="AT504" s="8"/>
      <c r="AU504" s="8"/>
      <c r="AV504" s="8"/>
      <c r="AW504" s="8"/>
      <c r="AX504" s="8"/>
      <c r="AY504" s="8"/>
      <c r="AZ504" s="8">
        <v>2</v>
      </c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</row>
    <row r="505" spans="1:76" ht="16.5" customHeight="1" x14ac:dyDescent="0.3">
      <c r="A505" t="s">
        <v>724</v>
      </c>
      <c r="B505" t="s">
        <v>656</v>
      </c>
      <c r="C505" t="s">
        <v>805</v>
      </c>
      <c r="D505" t="s">
        <v>820</v>
      </c>
      <c r="E505" t="s">
        <v>735</v>
      </c>
      <c r="F505" t="s">
        <v>735</v>
      </c>
      <c r="G505" s="5">
        <v>1495183</v>
      </c>
      <c r="H505" s="7" t="s">
        <v>292</v>
      </c>
      <c r="I505" s="5" t="s">
        <v>253</v>
      </c>
      <c r="J505" s="5">
        <v>2</v>
      </c>
      <c r="K505" s="5" t="s">
        <v>102</v>
      </c>
      <c r="L505" s="5" t="s">
        <v>109</v>
      </c>
      <c r="M505" s="5" t="s">
        <v>94</v>
      </c>
      <c r="N505" s="5" t="s">
        <v>285</v>
      </c>
      <c r="O505" s="4"/>
      <c r="P505" s="24">
        <f t="shared" si="120"/>
        <v>15</v>
      </c>
      <c r="Q505" s="8">
        <f t="shared" si="121"/>
        <v>0</v>
      </c>
      <c r="R505" s="8">
        <f t="shared" si="122"/>
        <v>15</v>
      </c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>
        <v>1</v>
      </c>
      <c r="AK505" s="8"/>
      <c r="AL505" s="8"/>
      <c r="AM505" s="8"/>
      <c r="AN505" s="8"/>
      <c r="AO505" s="8"/>
      <c r="AP505" s="8"/>
      <c r="AQ505" s="8">
        <v>4</v>
      </c>
      <c r="AR505" s="8"/>
      <c r="AS505" s="8"/>
      <c r="AT505" s="8"/>
      <c r="AU505" s="8">
        <v>2</v>
      </c>
      <c r="AV505" s="8">
        <v>1</v>
      </c>
      <c r="AW505" s="8"/>
      <c r="AX505" s="8"/>
      <c r="AY505" s="8"/>
      <c r="AZ505" s="8">
        <v>3</v>
      </c>
      <c r="BA505" s="8"/>
      <c r="BB505" s="8"/>
      <c r="BC505" s="8"/>
      <c r="BD505" s="8">
        <v>1</v>
      </c>
      <c r="BE505" s="8">
        <v>1</v>
      </c>
      <c r="BF505" s="8"/>
      <c r="BG505" s="8"/>
      <c r="BH505" s="8">
        <v>2</v>
      </c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</row>
    <row r="506" spans="1:76" ht="16.5" customHeight="1" x14ac:dyDescent="0.3">
      <c r="G506" s="14">
        <v>1494388</v>
      </c>
      <c r="H506" s="15" t="s">
        <v>470</v>
      </c>
      <c r="I506" s="14" t="s">
        <v>253</v>
      </c>
      <c r="J506" s="14">
        <v>2</v>
      </c>
      <c r="K506" s="14" t="s">
        <v>254</v>
      </c>
      <c r="L506" s="14" t="s">
        <v>255</v>
      </c>
      <c r="M506" s="14" t="s">
        <v>94</v>
      </c>
      <c r="N506" s="14" t="s">
        <v>110</v>
      </c>
      <c r="O506" s="13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</row>
    <row r="507" spans="1:76" ht="16.5" customHeight="1" x14ac:dyDescent="0.3">
      <c r="A507" t="s">
        <v>724</v>
      </c>
      <c r="B507" t="s">
        <v>656</v>
      </c>
      <c r="C507" t="s">
        <v>805</v>
      </c>
      <c r="D507" t="s">
        <v>823</v>
      </c>
      <c r="E507" t="s">
        <v>823</v>
      </c>
      <c r="F507" t="s">
        <v>823</v>
      </c>
      <c r="G507" s="5">
        <v>1494388</v>
      </c>
      <c r="H507" s="38" t="s">
        <v>471</v>
      </c>
      <c r="I507" s="5" t="s">
        <v>253</v>
      </c>
      <c r="J507" s="5">
        <v>2</v>
      </c>
      <c r="K507" s="5" t="s">
        <v>254</v>
      </c>
      <c r="L507" s="5" t="s">
        <v>255</v>
      </c>
      <c r="M507" s="5" t="s">
        <v>94</v>
      </c>
      <c r="N507" s="5" t="s">
        <v>110</v>
      </c>
      <c r="O507" s="4"/>
      <c r="P507" s="24">
        <f t="shared" ref="P507:P516" si="123">SUM(Q507,R507)</f>
        <v>1</v>
      </c>
      <c r="Q507" s="8">
        <f t="shared" ref="Q507:Q516" si="124">S507</f>
        <v>0</v>
      </c>
      <c r="R507" s="8">
        <f t="shared" ref="R507:R516" si="125">SUM(T507:BX507)</f>
        <v>1</v>
      </c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>
        <v>1</v>
      </c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</row>
    <row r="508" spans="1:76" ht="16.5" customHeight="1" x14ac:dyDescent="0.3">
      <c r="A508" t="s">
        <v>724</v>
      </c>
      <c r="B508" t="s">
        <v>656</v>
      </c>
      <c r="C508" t="s">
        <v>805</v>
      </c>
      <c r="D508" t="s">
        <v>823</v>
      </c>
      <c r="E508" t="s">
        <v>824</v>
      </c>
      <c r="F508" t="s">
        <v>824</v>
      </c>
      <c r="G508" s="5">
        <v>1494389</v>
      </c>
      <c r="H508" s="7" t="s">
        <v>472</v>
      </c>
      <c r="I508" s="5" t="s">
        <v>253</v>
      </c>
      <c r="J508" s="5">
        <v>2</v>
      </c>
      <c r="K508" s="5" t="s">
        <v>102</v>
      </c>
      <c r="L508" s="5" t="s">
        <v>109</v>
      </c>
      <c r="M508" s="5" t="s">
        <v>94</v>
      </c>
      <c r="N508" s="5" t="s">
        <v>283</v>
      </c>
      <c r="O508" s="4"/>
      <c r="P508" s="24">
        <f t="shared" si="123"/>
        <v>22</v>
      </c>
      <c r="Q508" s="8">
        <f t="shared" si="124"/>
        <v>0</v>
      </c>
      <c r="R508" s="8">
        <f t="shared" si="125"/>
        <v>22</v>
      </c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>
        <v>1</v>
      </c>
      <c r="AK508" s="8"/>
      <c r="AL508" s="8"/>
      <c r="AM508" s="8"/>
      <c r="AN508" s="8"/>
      <c r="AO508" s="8"/>
      <c r="AP508" s="8">
        <v>2</v>
      </c>
      <c r="AQ508" s="8"/>
      <c r="AR508" s="8"/>
      <c r="AS508" s="8"/>
      <c r="AT508" s="8"/>
      <c r="AU508" s="8"/>
      <c r="AV508" s="8"/>
      <c r="AW508" s="8">
        <v>1</v>
      </c>
      <c r="AX508" s="8"/>
      <c r="AY508" s="8">
        <v>3</v>
      </c>
      <c r="AZ508" s="8"/>
      <c r="BA508" s="8"/>
      <c r="BB508" s="8"/>
      <c r="BC508" s="8">
        <v>1</v>
      </c>
      <c r="BD508" s="8"/>
      <c r="BE508" s="8"/>
      <c r="BF508" s="8"/>
      <c r="BG508" s="8"/>
      <c r="BH508" s="8"/>
      <c r="BI508" s="8"/>
      <c r="BJ508" s="8">
        <v>6</v>
      </c>
      <c r="BK508" s="8"/>
      <c r="BL508" s="8">
        <v>1</v>
      </c>
      <c r="BM508" s="8"/>
      <c r="BN508" s="8"/>
      <c r="BO508" s="8"/>
      <c r="BP508" s="8"/>
      <c r="BQ508" s="8">
        <v>5</v>
      </c>
      <c r="BR508" s="8"/>
      <c r="BS508" s="8">
        <v>2</v>
      </c>
      <c r="BT508" s="8"/>
      <c r="BU508" s="8"/>
      <c r="BV508" s="8"/>
      <c r="BW508" s="8"/>
      <c r="BX508" s="8"/>
    </row>
    <row r="509" spans="1:76" ht="16.5" customHeight="1" x14ac:dyDescent="0.3">
      <c r="A509" t="s">
        <v>724</v>
      </c>
      <c r="B509" t="s">
        <v>656</v>
      </c>
      <c r="C509" t="s">
        <v>805</v>
      </c>
      <c r="D509" t="s">
        <v>823</v>
      </c>
      <c r="E509" t="s">
        <v>825</v>
      </c>
      <c r="F509" t="s">
        <v>825</v>
      </c>
      <c r="G509" s="5">
        <v>1494390</v>
      </c>
      <c r="H509" s="7" t="s">
        <v>473</v>
      </c>
      <c r="I509" s="5" t="s">
        <v>253</v>
      </c>
      <c r="J509" s="5">
        <v>2</v>
      </c>
      <c r="K509" s="5" t="s">
        <v>102</v>
      </c>
      <c r="L509" s="5" t="s">
        <v>109</v>
      </c>
      <c r="M509" s="5" t="s">
        <v>94</v>
      </c>
      <c r="N509" s="5" t="s">
        <v>283</v>
      </c>
      <c r="O509" s="4"/>
      <c r="P509" s="24">
        <f t="shared" si="123"/>
        <v>12</v>
      </c>
      <c r="Q509" s="8">
        <f t="shared" si="124"/>
        <v>0</v>
      </c>
      <c r="R509" s="8">
        <f t="shared" si="125"/>
        <v>12</v>
      </c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>
        <v>1</v>
      </c>
      <c r="AK509" s="8"/>
      <c r="AL509" s="8"/>
      <c r="AM509" s="8"/>
      <c r="AN509" s="8"/>
      <c r="AO509" s="8"/>
      <c r="AP509" s="8">
        <v>1</v>
      </c>
      <c r="AQ509" s="8"/>
      <c r="AR509" s="8"/>
      <c r="AS509" s="8"/>
      <c r="AT509" s="8"/>
      <c r="AU509" s="8"/>
      <c r="AV509" s="8"/>
      <c r="AW509" s="8">
        <v>1</v>
      </c>
      <c r="AX509" s="8"/>
      <c r="AY509" s="8">
        <v>1</v>
      </c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>
        <v>4</v>
      </c>
      <c r="BK509" s="8"/>
      <c r="BL509" s="8">
        <v>1</v>
      </c>
      <c r="BM509" s="8"/>
      <c r="BN509" s="8"/>
      <c r="BO509" s="8"/>
      <c r="BP509" s="8"/>
      <c r="BQ509" s="8">
        <v>2</v>
      </c>
      <c r="BR509" s="8"/>
      <c r="BS509" s="8">
        <v>1</v>
      </c>
      <c r="BT509" s="8"/>
      <c r="BU509" s="8"/>
      <c r="BV509" s="8"/>
      <c r="BW509" s="8"/>
      <c r="BX509" s="8"/>
    </row>
    <row r="510" spans="1:76" ht="16.5" customHeight="1" x14ac:dyDescent="0.3">
      <c r="A510" t="s">
        <v>724</v>
      </c>
      <c r="B510" t="s">
        <v>656</v>
      </c>
      <c r="C510" t="s">
        <v>805</v>
      </c>
      <c r="D510" t="s">
        <v>823</v>
      </c>
      <c r="E510" t="s">
        <v>826</v>
      </c>
      <c r="F510" t="s">
        <v>826</v>
      </c>
      <c r="G510" s="5">
        <v>1494927</v>
      </c>
      <c r="H510" s="7" t="s">
        <v>474</v>
      </c>
      <c r="I510" s="5" t="s">
        <v>253</v>
      </c>
      <c r="J510" s="5">
        <v>2</v>
      </c>
      <c r="K510" s="5" t="s">
        <v>102</v>
      </c>
      <c r="L510" s="5" t="s">
        <v>109</v>
      </c>
      <c r="M510" s="5" t="s">
        <v>94</v>
      </c>
      <c r="N510" s="5" t="s">
        <v>283</v>
      </c>
      <c r="O510" s="4"/>
      <c r="P510" s="24">
        <f t="shared" si="123"/>
        <v>11</v>
      </c>
      <c r="Q510" s="8">
        <f t="shared" si="124"/>
        <v>0</v>
      </c>
      <c r="R510" s="8">
        <f t="shared" si="125"/>
        <v>11</v>
      </c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>
        <v>1</v>
      </c>
      <c r="AK510" s="8"/>
      <c r="AL510" s="8"/>
      <c r="AM510" s="8"/>
      <c r="AN510" s="8"/>
      <c r="AO510" s="8"/>
      <c r="AP510" s="8">
        <v>1</v>
      </c>
      <c r="AQ510" s="8"/>
      <c r="AR510" s="8"/>
      <c r="AS510" s="8"/>
      <c r="AT510" s="8"/>
      <c r="AU510" s="8"/>
      <c r="AV510" s="8"/>
      <c r="AW510" s="8"/>
      <c r="AX510" s="8"/>
      <c r="AY510" s="8">
        <v>2</v>
      </c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>
        <v>2</v>
      </c>
      <c r="BK510" s="8"/>
      <c r="BL510" s="8">
        <v>1</v>
      </c>
      <c r="BM510" s="8"/>
      <c r="BN510" s="8"/>
      <c r="BO510" s="8"/>
      <c r="BP510" s="8"/>
      <c r="BQ510" s="8">
        <v>3</v>
      </c>
      <c r="BR510" s="8"/>
      <c r="BS510" s="8">
        <v>1</v>
      </c>
      <c r="BT510" s="8"/>
      <c r="BU510" s="8"/>
      <c r="BV510" s="8"/>
      <c r="BW510" s="8"/>
      <c r="BX510" s="8"/>
    </row>
    <row r="511" spans="1:76" ht="16.5" customHeight="1" x14ac:dyDescent="0.3">
      <c r="A511" t="s">
        <v>724</v>
      </c>
      <c r="B511" t="s">
        <v>656</v>
      </c>
      <c r="C511" t="s">
        <v>805</v>
      </c>
      <c r="D511" t="s">
        <v>823</v>
      </c>
      <c r="E511" t="s">
        <v>665</v>
      </c>
      <c r="F511" t="s">
        <v>727</v>
      </c>
      <c r="G511" s="5">
        <v>1494868</v>
      </c>
      <c r="H511" s="7" t="s">
        <v>284</v>
      </c>
      <c r="I511" s="5" t="s">
        <v>253</v>
      </c>
      <c r="J511" s="5">
        <v>2</v>
      </c>
      <c r="K511" s="5" t="s">
        <v>102</v>
      </c>
      <c r="L511" s="5" t="s">
        <v>109</v>
      </c>
      <c r="M511" s="5" t="s">
        <v>94</v>
      </c>
      <c r="N511" s="5" t="s">
        <v>285</v>
      </c>
      <c r="O511" s="4"/>
      <c r="P511" s="24">
        <f t="shared" si="123"/>
        <v>14</v>
      </c>
      <c r="Q511" s="8">
        <f t="shared" si="124"/>
        <v>0</v>
      </c>
      <c r="R511" s="8">
        <f t="shared" si="125"/>
        <v>14</v>
      </c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>
        <v>1</v>
      </c>
      <c r="AK511" s="8"/>
      <c r="AL511" s="8"/>
      <c r="AM511" s="8"/>
      <c r="AN511" s="8">
        <v>1</v>
      </c>
      <c r="AO511" s="8"/>
      <c r="AP511" s="8"/>
      <c r="AQ511" s="8"/>
      <c r="AR511" s="8"/>
      <c r="AS511" s="8"/>
      <c r="AT511" s="8"/>
      <c r="AU511" s="8"/>
      <c r="AV511" s="8"/>
      <c r="AW511" s="8">
        <v>1</v>
      </c>
      <c r="AX511" s="8"/>
      <c r="AY511" s="8">
        <v>1</v>
      </c>
      <c r="AZ511" s="8">
        <v>1</v>
      </c>
      <c r="BA511" s="8"/>
      <c r="BB511" s="8"/>
      <c r="BC511" s="8"/>
      <c r="BD511" s="8"/>
      <c r="BE511" s="8"/>
      <c r="BF511" s="8"/>
      <c r="BG511" s="8"/>
      <c r="BH511" s="8">
        <v>1</v>
      </c>
      <c r="BI511" s="8"/>
      <c r="BJ511" s="8">
        <v>3</v>
      </c>
      <c r="BK511" s="8"/>
      <c r="BL511" s="8"/>
      <c r="BM511" s="8"/>
      <c r="BN511" s="8"/>
      <c r="BO511" s="8">
        <v>1</v>
      </c>
      <c r="BP511" s="8"/>
      <c r="BQ511" s="8">
        <v>1</v>
      </c>
      <c r="BR511" s="8"/>
      <c r="BS511" s="8">
        <v>1</v>
      </c>
      <c r="BT511" s="8"/>
      <c r="BU511" s="8">
        <v>1</v>
      </c>
      <c r="BV511" s="8">
        <v>1</v>
      </c>
      <c r="BW511" s="8"/>
      <c r="BX511" s="8"/>
    </row>
    <row r="512" spans="1:76" ht="16.5" customHeight="1" x14ac:dyDescent="0.3">
      <c r="A512" t="s">
        <v>724</v>
      </c>
      <c r="B512" t="s">
        <v>656</v>
      </c>
      <c r="C512" t="s">
        <v>805</v>
      </c>
      <c r="D512" t="s">
        <v>823</v>
      </c>
      <c r="E512" t="s">
        <v>747</v>
      </c>
      <c r="F512" t="s">
        <v>747</v>
      </c>
      <c r="G512" s="5">
        <v>1495116</v>
      </c>
      <c r="H512" s="7" t="s">
        <v>367</v>
      </c>
      <c r="I512" s="5" t="s">
        <v>253</v>
      </c>
      <c r="J512" s="5">
        <v>2</v>
      </c>
      <c r="K512" s="5" t="s">
        <v>102</v>
      </c>
      <c r="L512" s="5" t="s">
        <v>109</v>
      </c>
      <c r="M512" s="5" t="s">
        <v>94</v>
      </c>
      <c r="N512" s="5" t="s">
        <v>285</v>
      </c>
      <c r="O512" s="4"/>
      <c r="P512" s="24">
        <f t="shared" si="123"/>
        <v>28</v>
      </c>
      <c r="Q512" s="8">
        <f t="shared" si="124"/>
        <v>0</v>
      </c>
      <c r="R512" s="8">
        <f t="shared" si="125"/>
        <v>28</v>
      </c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>
        <v>1</v>
      </c>
      <c r="AJ512" s="8"/>
      <c r="AK512" s="8"/>
      <c r="AL512" s="8"/>
      <c r="AM512" s="8"/>
      <c r="AN512" s="8">
        <v>11</v>
      </c>
      <c r="AO512" s="8"/>
      <c r="AP512" s="8"/>
      <c r="AQ512" s="8"/>
      <c r="AR512" s="8"/>
      <c r="AS512" s="8"/>
      <c r="AT512" s="8"/>
      <c r="AU512" s="8"/>
      <c r="AV512" s="8"/>
      <c r="AW512" s="8">
        <v>11</v>
      </c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>
        <v>4</v>
      </c>
      <c r="BI512" s="8"/>
      <c r="BJ512" s="8"/>
      <c r="BK512" s="8"/>
      <c r="BL512" s="8"/>
      <c r="BM512" s="8"/>
      <c r="BN512" s="8"/>
      <c r="BO512" s="8">
        <v>1</v>
      </c>
      <c r="BP512" s="8"/>
      <c r="BQ512" s="8"/>
      <c r="BR512" s="8"/>
      <c r="BS512" s="8"/>
      <c r="BT512" s="8"/>
      <c r="BU512" s="8"/>
      <c r="BV512" s="8"/>
      <c r="BW512" s="8"/>
      <c r="BX512" s="8"/>
    </row>
    <row r="513" spans="1:76" ht="16.5" customHeight="1" x14ac:dyDescent="0.3">
      <c r="A513" t="s">
        <v>724</v>
      </c>
      <c r="B513" t="s">
        <v>656</v>
      </c>
      <c r="C513" t="s">
        <v>805</v>
      </c>
      <c r="D513" t="s">
        <v>823</v>
      </c>
      <c r="E513" t="s">
        <v>741</v>
      </c>
      <c r="F513" t="s">
        <v>741</v>
      </c>
      <c r="G513" s="5">
        <v>1495151</v>
      </c>
      <c r="H513" s="7" t="s">
        <v>291</v>
      </c>
      <c r="I513" s="5" t="s">
        <v>253</v>
      </c>
      <c r="J513" s="5">
        <v>2</v>
      </c>
      <c r="K513" s="5" t="s">
        <v>102</v>
      </c>
      <c r="L513" s="5" t="s">
        <v>109</v>
      </c>
      <c r="M513" s="5" t="s">
        <v>94</v>
      </c>
      <c r="N513" s="5" t="s">
        <v>285</v>
      </c>
      <c r="O513" s="4"/>
      <c r="P513" s="24">
        <f t="shared" si="123"/>
        <v>10</v>
      </c>
      <c r="Q513" s="8">
        <f t="shared" si="124"/>
        <v>0</v>
      </c>
      <c r="R513" s="8">
        <f t="shared" si="125"/>
        <v>10</v>
      </c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>
        <v>1</v>
      </c>
      <c r="AJ513" s="8"/>
      <c r="AK513" s="8"/>
      <c r="AL513" s="8"/>
      <c r="AM513" s="8"/>
      <c r="AN513" s="8">
        <v>3</v>
      </c>
      <c r="AO513" s="8"/>
      <c r="AP513" s="8"/>
      <c r="AQ513" s="8"/>
      <c r="AR513" s="8"/>
      <c r="AS513" s="8"/>
      <c r="AT513" s="8"/>
      <c r="AU513" s="8"/>
      <c r="AV513" s="8"/>
      <c r="AW513" s="8">
        <v>4</v>
      </c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>
        <v>2</v>
      </c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</row>
    <row r="514" spans="1:76" ht="16.5" customHeight="1" x14ac:dyDescent="0.3">
      <c r="A514" t="s">
        <v>724</v>
      </c>
      <c r="B514" t="s">
        <v>656</v>
      </c>
      <c r="C514" t="s">
        <v>805</v>
      </c>
      <c r="D514" t="s">
        <v>823</v>
      </c>
      <c r="E514" t="s">
        <v>734</v>
      </c>
      <c r="F514" t="s">
        <v>734</v>
      </c>
      <c r="G514" s="5">
        <v>1495184</v>
      </c>
      <c r="H514" s="7" t="s">
        <v>297</v>
      </c>
      <c r="I514" s="5" t="s">
        <v>253</v>
      </c>
      <c r="J514" s="5">
        <v>2</v>
      </c>
      <c r="K514" s="5" t="s">
        <v>102</v>
      </c>
      <c r="L514" s="5" t="s">
        <v>109</v>
      </c>
      <c r="M514" s="5" t="s">
        <v>94</v>
      </c>
      <c r="N514" s="5" t="s">
        <v>285</v>
      </c>
      <c r="O514" s="4"/>
      <c r="P514" s="24">
        <f t="shared" si="123"/>
        <v>5</v>
      </c>
      <c r="Q514" s="8">
        <f t="shared" si="124"/>
        <v>0</v>
      </c>
      <c r="R514" s="8">
        <f t="shared" si="125"/>
        <v>5</v>
      </c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>
        <v>1</v>
      </c>
      <c r="AL514" s="8"/>
      <c r="AM514" s="8"/>
      <c r="AN514" s="8"/>
      <c r="AO514" s="8"/>
      <c r="AP514" s="8"/>
      <c r="AQ514" s="8">
        <v>2</v>
      </c>
      <c r="AR514" s="8"/>
      <c r="AS514" s="8"/>
      <c r="AT514" s="8"/>
      <c r="AU514" s="8"/>
      <c r="AV514" s="8"/>
      <c r="AW514" s="8"/>
      <c r="AX514" s="8"/>
      <c r="AY514" s="8"/>
      <c r="AZ514" s="8">
        <v>2</v>
      </c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</row>
    <row r="515" spans="1:76" ht="16.5" customHeight="1" x14ac:dyDescent="0.3">
      <c r="A515" t="s">
        <v>724</v>
      </c>
      <c r="B515" t="s">
        <v>656</v>
      </c>
      <c r="C515" t="s">
        <v>805</v>
      </c>
      <c r="D515" t="s">
        <v>823</v>
      </c>
      <c r="E515" t="s">
        <v>735</v>
      </c>
      <c r="F515" t="s">
        <v>735</v>
      </c>
      <c r="G515" s="5">
        <v>1495214</v>
      </c>
      <c r="H515" s="7" t="s">
        <v>292</v>
      </c>
      <c r="I515" s="5" t="s">
        <v>253</v>
      </c>
      <c r="J515" s="5">
        <v>2</v>
      </c>
      <c r="K515" s="5" t="s">
        <v>102</v>
      </c>
      <c r="L515" s="5" t="s">
        <v>109</v>
      </c>
      <c r="M515" s="5" t="s">
        <v>94</v>
      </c>
      <c r="N515" s="5" t="s">
        <v>285</v>
      </c>
      <c r="O515" s="4"/>
      <c r="P515" s="24">
        <f t="shared" si="123"/>
        <v>19</v>
      </c>
      <c r="Q515" s="8">
        <f t="shared" si="124"/>
        <v>0</v>
      </c>
      <c r="R515" s="8">
        <f t="shared" si="125"/>
        <v>19</v>
      </c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>
        <v>1</v>
      </c>
      <c r="AK515" s="8"/>
      <c r="AL515" s="8"/>
      <c r="AM515" s="8"/>
      <c r="AN515" s="8"/>
      <c r="AO515" s="8"/>
      <c r="AP515" s="8"/>
      <c r="AQ515" s="8">
        <v>4</v>
      </c>
      <c r="AR515" s="8"/>
      <c r="AS515" s="8"/>
      <c r="AT515" s="8"/>
      <c r="AU515" s="8">
        <v>4</v>
      </c>
      <c r="AV515" s="8">
        <v>1</v>
      </c>
      <c r="AW515" s="8"/>
      <c r="AX515" s="8"/>
      <c r="AY515" s="8"/>
      <c r="AZ515" s="8">
        <v>5</v>
      </c>
      <c r="BA515" s="8"/>
      <c r="BB515" s="8"/>
      <c r="BC515" s="8"/>
      <c r="BD515" s="8">
        <v>1</v>
      </c>
      <c r="BE515" s="8">
        <v>1</v>
      </c>
      <c r="BF515" s="8"/>
      <c r="BG515" s="8"/>
      <c r="BH515" s="8">
        <v>2</v>
      </c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</row>
    <row r="516" spans="1:76" ht="16.5" customHeight="1" x14ac:dyDescent="0.3">
      <c r="A516" t="s">
        <v>724</v>
      </c>
      <c r="B516" t="s">
        <v>656</v>
      </c>
      <c r="C516" t="s">
        <v>805</v>
      </c>
      <c r="D516" t="s">
        <v>823</v>
      </c>
      <c r="E516" t="s">
        <v>736</v>
      </c>
      <c r="F516" t="s">
        <v>736</v>
      </c>
      <c r="G516" s="5">
        <v>1495238</v>
      </c>
      <c r="H516" s="7" t="s">
        <v>327</v>
      </c>
      <c r="I516" s="5" t="s">
        <v>253</v>
      </c>
      <c r="J516" s="5">
        <v>2</v>
      </c>
      <c r="K516" s="5" t="s">
        <v>102</v>
      </c>
      <c r="L516" s="5" t="s">
        <v>109</v>
      </c>
      <c r="M516" s="5" t="s">
        <v>94</v>
      </c>
      <c r="N516" s="5" t="s">
        <v>285</v>
      </c>
      <c r="O516" s="4"/>
      <c r="P516" s="24">
        <f t="shared" si="123"/>
        <v>5</v>
      </c>
      <c r="Q516" s="8">
        <f t="shared" si="124"/>
        <v>0</v>
      </c>
      <c r="R516" s="8">
        <f t="shared" si="125"/>
        <v>5</v>
      </c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>
        <v>1</v>
      </c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>
        <v>1</v>
      </c>
      <c r="AW516" s="8"/>
      <c r="AX516" s="8"/>
      <c r="AY516" s="8"/>
      <c r="AZ516" s="8"/>
      <c r="BA516" s="8"/>
      <c r="BB516" s="8"/>
      <c r="BC516" s="8"/>
      <c r="BD516" s="8">
        <v>3</v>
      </c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</row>
    <row r="517" spans="1:76" ht="16.5" customHeight="1" x14ac:dyDescent="0.3">
      <c r="G517" s="10">
        <v>1494163</v>
      </c>
      <c r="H517" s="11" t="s">
        <v>475</v>
      </c>
      <c r="I517" s="10" t="s">
        <v>253</v>
      </c>
      <c r="J517" s="10">
        <v>1</v>
      </c>
      <c r="K517" s="10" t="s">
        <v>254</v>
      </c>
      <c r="L517" s="10" t="s">
        <v>255</v>
      </c>
      <c r="M517" s="10" t="s">
        <v>94</v>
      </c>
      <c r="N517" s="10" t="s">
        <v>116</v>
      </c>
      <c r="O517" s="9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</row>
    <row r="518" spans="1:76" ht="16.5" customHeight="1" x14ac:dyDescent="0.3">
      <c r="A518" t="s">
        <v>724</v>
      </c>
      <c r="B518" t="s">
        <v>656</v>
      </c>
      <c r="C518" t="s">
        <v>827</v>
      </c>
      <c r="D518" t="s">
        <v>827</v>
      </c>
      <c r="E518" t="s">
        <v>827</v>
      </c>
      <c r="F518" t="s">
        <v>827</v>
      </c>
      <c r="G518" s="5">
        <v>1494163</v>
      </c>
      <c r="H518" s="38" t="s">
        <v>476</v>
      </c>
      <c r="I518" s="5" t="s">
        <v>253</v>
      </c>
      <c r="J518" s="5">
        <v>1</v>
      </c>
      <c r="K518" s="5" t="s">
        <v>254</v>
      </c>
      <c r="L518" s="5" t="s">
        <v>255</v>
      </c>
      <c r="M518" s="5" t="s">
        <v>94</v>
      </c>
      <c r="N518" s="5" t="s">
        <v>116</v>
      </c>
      <c r="O518" s="4"/>
      <c r="P518" s="24">
        <f>SUM(Q518,R518)</f>
        <v>1</v>
      </c>
      <c r="Q518" s="8">
        <f>S518</f>
        <v>0</v>
      </c>
      <c r="R518" s="8">
        <f>SUM(T518:BX518)</f>
        <v>1</v>
      </c>
      <c r="S518" s="8"/>
      <c r="T518" s="8"/>
      <c r="U518" s="8"/>
      <c r="V518" s="8">
        <v>1</v>
      </c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</row>
    <row r="519" spans="1:76" ht="16.5" customHeight="1" x14ac:dyDescent="0.3">
      <c r="G519" s="14">
        <v>1494543</v>
      </c>
      <c r="H519" s="15" t="s">
        <v>477</v>
      </c>
      <c r="I519" s="14" t="s">
        <v>253</v>
      </c>
      <c r="J519" s="14">
        <v>1</v>
      </c>
      <c r="K519" s="14" t="s">
        <v>102</v>
      </c>
      <c r="L519" s="14" t="s">
        <v>109</v>
      </c>
      <c r="M519" s="14" t="s">
        <v>94</v>
      </c>
      <c r="N519" s="14" t="s">
        <v>258</v>
      </c>
      <c r="O519" s="13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</row>
    <row r="520" spans="1:76" ht="16.5" customHeight="1" x14ac:dyDescent="0.3">
      <c r="A520" t="s">
        <v>724</v>
      </c>
      <c r="B520" t="s">
        <v>656</v>
      </c>
      <c r="C520" t="s">
        <v>827</v>
      </c>
      <c r="D520" t="s">
        <v>827</v>
      </c>
      <c r="E520" t="s">
        <v>828</v>
      </c>
      <c r="F520" t="s">
        <v>828</v>
      </c>
      <c r="G520" s="5">
        <v>1494543</v>
      </c>
      <c r="H520" s="7" t="s">
        <v>478</v>
      </c>
      <c r="I520" s="5" t="s">
        <v>253</v>
      </c>
      <c r="J520" s="5">
        <v>1</v>
      </c>
      <c r="K520" s="5" t="s">
        <v>102</v>
      </c>
      <c r="L520" s="5" t="s">
        <v>109</v>
      </c>
      <c r="M520" s="5" t="s">
        <v>94</v>
      </c>
      <c r="N520" s="5" t="s">
        <v>258</v>
      </c>
      <c r="O520" s="4"/>
      <c r="P520" s="24">
        <f t="shared" ref="P520:P539" si="126">SUM(Q520,R520)</f>
        <v>1</v>
      </c>
      <c r="Q520" s="8">
        <f t="shared" ref="Q520:Q539" si="127">S520</f>
        <v>0</v>
      </c>
      <c r="R520" s="8">
        <f t="shared" ref="R520:R539" si="128">SUM(T520:BX520)</f>
        <v>1</v>
      </c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>
        <v>1</v>
      </c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</row>
    <row r="521" spans="1:76" ht="16.5" customHeight="1" x14ac:dyDescent="0.3">
      <c r="A521" t="s">
        <v>724</v>
      </c>
      <c r="B521" t="s">
        <v>656</v>
      </c>
      <c r="C521" t="s">
        <v>827</v>
      </c>
      <c r="D521" t="s">
        <v>827</v>
      </c>
      <c r="E521" t="s">
        <v>828</v>
      </c>
      <c r="F521" t="s">
        <v>659</v>
      </c>
      <c r="G521" s="5">
        <v>1492882</v>
      </c>
      <c r="H521" s="7" t="s">
        <v>260</v>
      </c>
      <c r="I521" s="5" t="s">
        <v>253</v>
      </c>
      <c r="J521" s="5">
        <v>1</v>
      </c>
      <c r="K521" s="5" t="s">
        <v>102</v>
      </c>
      <c r="L521" s="5" t="s">
        <v>109</v>
      </c>
      <c r="M521" s="5" t="s">
        <v>94</v>
      </c>
      <c r="N521" s="5" t="s">
        <v>261</v>
      </c>
      <c r="O521" s="4"/>
      <c r="P521" s="24">
        <f t="shared" si="126"/>
        <v>21</v>
      </c>
      <c r="Q521" s="8">
        <f t="shared" si="127"/>
        <v>0</v>
      </c>
      <c r="R521" s="8">
        <f t="shared" si="128"/>
        <v>21</v>
      </c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>
        <v>1</v>
      </c>
      <c r="AK521" s="8"/>
      <c r="AL521" s="8"/>
      <c r="AM521" s="8"/>
      <c r="AN521" s="8"/>
      <c r="AO521" s="8"/>
      <c r="AP521" s="8">
        <v>2</v>
      </c>
      <c r="AQ521" s="8"/>
      <c r="AR521" s="8"/>
      <c r="AS521" s="8"/>
      <c r="AT521" s="8"/>
      <c r="AU521" s="8"/>
      <c r="AV521" s="8"/>
      <c r="AW521" s="8">
        <v>1</v>
      </c>
      <c r="AX521" s="8"/>
      <c r="AY521" s="8">
        <v>2</v>
      </c>
      <c r="AZ521" s="8">
        <v>1</v>
      </c>
      <c r="BA521" s="8"/>
      <c r="BB521" s="8"/>
      <c r="BC521" s="8">
        <v>1</v>
      </c>
      <c r="BD521" s="8"/>
      <c r="BE521" s="8"/>
      <c r="BF521" s="8"/>
      <c r="BG521" s="8"/>
      <c r="BH521" s="8"/>
      <c r="BI521" s="8"/>
      <c r="BJ521" s="8">
        <v>5</v>
      </c>
      <c r="BK521" s="8"/>
      <c r="BL521" s="8">
        <v>1</v>
      </c>
      <c r="BM521" s="8"/>
      <c r="BN521" s="8"/>
      <c r="BO521" s="8">
        <v>1</v>
      </c>
      <c r="BP521" s="8"/>
      <c r="BQ521" s="8">
        <v>3</v>
      </c>
      <c r="BR521" s="8"/>
      <c r="BS521" s="8">
        <v>3</v>
      </c>
      <c r="BT521" s="8"/>
      <c r="BU521" s="8"/>
      <c r="BV521" s="8"/>
      <c r="BW521" s="8"/>
      <c r="BX521" s="8"/>
    </row>
    <row r="522" spans="1:76" ht="16.5" customHeight="1" x14ac:dyDescent="0.3">
      <c r="A522" t="s">
        <v>724</v>
      </c>
      <c r="B522" t="s">
        <v>656</v>
      </c>
      <c r="C522" t="s">
        <v>827</v>
      </c>
      <c r="D522" t="s">
        <v>827</v>
      </c>
      <c r="E522" t="s">
        <v>828</v>
      </c>
      <c r="F522" t="s">
        <v>660</v>
      </c>
      <c r="G522" s="5">
        <v>1494808</v>
      </c>
      <c r="H522" s="7" t="s">
        <v>262</v>
      </c>
      <c r="I522" s="5" t="s">
        <v>253</v>
      </c>
      <c r="J522" s="5">
        <v>1</v>
      </c>
      <c r="K522" s="5" t="s">
        <v>102</v>
      </c>
      <c r="L522" s="5" t="s">
        <v>109</v>
      </c>
      <c r="M522" s="5" t="s">
        <v>94</v>
      </c>
      <c r="N522" s="5" t="s">
        <v>261</v>
      </c>
      <c r="O522" s="4"/>
      <c r="P522" s="24">
        <f t="shared" si="126"/>
        <v>16</v>
      </c>
      <c r="Q522" s="8">
        <f t="shared" si="127"/>
        <v>0</v>
      </c>
      <c r="R522" s="8">
        <f t="shared" si="128"/>
        <v>16</v>
      </c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>
        <v>1</v>
      </c>
      <c r="AK522" s="8"/>
      <c r="AL522" s="8"/>
      <c r="AM522" s="8"/>
      <c r="AN522" s="8"/>
      <c r="AO522" s="8"/>
      <c r="AP522" s="8">
        <v>2</v>
      </c>
      <c r="AQ522" s="8"/>
      <c r="AR522" s="8"/>
      <c r="AS522" s="8"/>
      <c r="AT522" s="8"/>
      <c r="AU522" s="8"/>
      <c r="AV522" s="8"/>
      <c r="AW522" s="8"/>
      <c r="AX522" s="8"/>
      <c r="AY522" s="8">
        <v>2</v>
      </c>
      <c r="AZ522" s="8"/>
      <c r="BA522" s="8"/>
      <c r="BB522" s="8"/>
      <c r="BC522" s="8"/>
      <c r="BD522" s="8"/>
      <c r="BE522" s="8"/>
      <c r="BF522" s="8"/>
      <c r="BG522" s="8"/>
      <c r="BH522" s="8">
        <v>1</v>
      </c>
      <c r="BI522" s="8"/>
      <c r="BJ522" s="8">
        <v>3</v>
      </c>
      <c r="BK522" s="8"/>
      <c r="BL522" s="8">
        <v>1</v>
      </c>
      <c r="BM522" s="8"/>
      <c r="BN522" s="8"/>
      <c r="BO522" s="8"/>
      <c r="BP522" s="8"/>
      <c r="BQ522" s="8">
        <v>4</v>
      </c>
      <c r="BR522" s="8"/>
      <c r="BS522" s="8">
        <v>2</v>
      </c>
      <c r="BT522" s="8"/>
      <c r="BU522" s="8"/>
      <c r="BV522" s="8"/>
      <c r="BW522" s="8"/>
      <c r="BX522" s="8"/>
    </row>
    <row r="523" spans="1:76" ht="16.5" customHeight="1" x14ac:dyDescent="0.3">
      <c r="A523" t="s">
        <v>724</v>
      </c>
      <c r="B523" t="s">
        <v>656</v>
      </c>
      <c r="C523" t="s">
        <v>827</v>
      </c>
      <c r="D523" t="s">
        <v>827</v>
      </c>
      <c r="E523" t="s">
        <v>828</v>
      </c>
      <c r="F523" t="s">
        <v>661</v>
      </c>
      <c r="G523" s="5">
        <v>1492888</v>
      </c>
      <c r="H523" s="7" t="s">
        <v>263</v>
      </c>
      <c r="I523" s="5" t="s">
        <v>253</v>
      </c>
      <c r="J523" s="5">
        <v>1</v>
      </c>
      <c r="K523" s="5" t="s">
        <v>102</v>
      </c>
      <c r="L523" s="5" t="s">
        <v>109</v>
      </c>
      <c r="M523" s="5" t="s">
        <v>94</v>
      </c>
      <c r="N523" s="5" t="s">
        <v>261</v>
      </c>
      <c r="O523" s="4"/>
      <c r="P523" s="24">
        <f t="shared" si="126"/>
        <v>22</v>
      </c>
      <c r="Q523" s="8">
        <f t="shared" si="127"/>
        <v>0</v>
      </c>
      <c r="R523" s="8">
        <f t="shared" si="128"/>
        <v>22</v>
      </c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>
        <v>1</v>
      </c>
      <c r="AK523" s="8"/>
      <c r="AL523" s="8"/>
      <c r="AM523" s="8"/>
      <c r="AN523" s="8"/>
      <c r="AO523" s="8"/>
      <c r="AP523" s="8">
        <v>2</v>
      </c>
      <c r="AQ523" s="8"/>
      <c r="AR523" s="8"/>
      <c r="AS523" s="8"/>
      <c r="AT523" s="8"/>
      <c r="AU523" s="8"/>
      <c r="AV523" s="8"/>
      <c r="AW523" s="8">
        <v>1</v>
      </c>
      <c r="AX523" s="8"/>
      <c r="AY523" s="8">
        <v>5</v>
      </c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>
        <v>6</v>
      </c>
      <c r="BK523" s="8"/>
      <c r="BL523" s="8">
        <v>1</v>
      </c>
      <c r="BM523" s="8"/>
      <c r="BN523" s="8"/>
      <c r="BO523" s="8"/>
      <c r="BP523" s="8"/>
      <c r="BQ523" s="8">
        <v>4</v>
      </c>
      <c r="BR523" s="8"/>
      <c r="BS523" s="8">
        <v>2</v>
      </c>
      <c r="BT523" s="8"/>
      <c r="BU523" s="8"/>
      <c r="BV523" s="8"/>
      <c r="BW523" s="8"/>
      <c r="BX523" s="8"/>
    </row>
    <row r="524" spans="1:76" ht="16.5" customHeight="1" x14ac:dyDescent="0.3">
      <c r="A524" t="s">
        <v>724</v>
      </c>
      <c r="B524" t="s">
        <v>656</v>
      </c>
      <c r="C524" t="s">
        <v>827</v>
      </c>
      <c r="D524" t="s">
        <v>827</v>
      </c>
      <c r="E524" t="s">
        <v>828</v>
      </c>
      <c r="F524" t="s">
        <v>662</v>
      </c>
      <c r="G524" s="5">
        <v>1494547</v>
      </c>
      <c r="H524" s="7" t="s">
        <v>264</v>
      </c>
      <c r="I524" s="5" t="s">
        <v>253</v>
      </c>
      <c r="J524" s="5">
        <v>1</v>
      </c>
      <c r="K524" s="5" t="s">
        <v>102</v>
      </c>
      <c r="L524" s="5" t="s">
        <v>109</v>
      </c>
      <c r="M524" s="5" t="s">
        <v>94</v>
      </c>
      <c r="N524" s="5" t="s">
        <v>261</v>
      </c>
      <c r="O524" s="4"/>
      <c r="P524" s="24">
        <f t="shared" si="126"/>
        <v>12</v>
      </c>
      <c r="Q524" s="8">
        <f t="shared" si="127"/>
        <v>0</v>
      </c>
      <c r="R524" s="8">
        <f t="shared" si="128"/>
        <v>12</v>
      </c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>
        <v>1</v>
      </c>
      <c r="AK524" s="8"/>
      <c r="AL524" s="8"/>
      <c r="AM524" s="8"/>
      <c r="AN524" s="8"/>
      <c r="AO524" s="8"/>
      <c r="AP524" s="8">
        <v>1</v>
      </c>
      <c r="AQ524" s="8"/>
      <c r="AR524" s="8"/>
      <c r="AS524" s="8"/>
      <c r="AT524" s="8"/>
      <c r="AU524" s="8"/>
      <c r="AV524" s="8"/>
      <c r="AW524" s="8"/>
      <c r="AX524" s="8"/>
      <c r="AY524" s="8">
        <v>2</v>
      </c>
      <c r="AZ524" s="8"/>
      <c r="BA524" s="8"/>
      <c r="BB524" s="8"/>
      <c r="BC524" s="8"/>
      <c r="BD524" s="8"/>
      <c r="BE524" s="8"/>
      <c r="BF524" s="8"/>
      <c r="BG524" s="8"/>
      <c r="BH524" s="8">
        <v>1</v>
      </c>
      <c r="BI524" s="8"/>
      <c r="BJ524" s="8"/>
      <c r="BK524" s="8"/>
      <c r="BL524" s="8">
        <v>3</v>
      </c>
      <c r="BM524" s="8"/>
      <c r="BN524" s="8"/>
      <c r="BO524" s="8"/>
      <c r="BP524" s="8"/>
      <c r="BQ524" s="8">
        <v>2</v>
      </c>
      <c r="BR524" s="8"/>
      <c r="BS524" s="8">
        <v>2</v>
      </c>
      <c r="BT524" s="8"/>
      <c r="BU524" s="8"/>
      <c r="BV524" s="8"/>
      <c r="BW524" s="8"/>
      <c r="BX524" s="8"/>
    </row>
    <row r="525" spans="1:76" ht="16.5" customHeight="1" x14ac:dyDescent="0.3">
      <c r="A525" t="s">
        <v>724</v>
      </c>
      <c r="B525" t="s">
        <v>656</v>
      </c>
      <c r="C525" t="s">
        <v>827</v>
      </c>
      <c r="D525" t="s">
        <v>827</v>
      </c>
      <c r="E525" t="s">
        <v>828</v>
      </c>
      <c r="F525" t="s">
        <v>663</v>
      </c>
      <c r="G525" s="5">
        <v>1494548</v>
      </c>
      <c r="H525" s="7" t="s">
        <v>265</v>
      </c>
      <c r="I525" s="5" t="s">
        <v>253</v>
      </c>
      <c r="J525" s="5">
        <v>1</v>
      </c>
      <c r="K525" s="5" t="s">
        <v>102</v>
      </c>
      <c r="L525" s="5" t="s">
        <v>109</v>
      </c>
      <c r="M525" s="5" t="s">
        <v>94</v>
      </c>
      <c r="N525" s="5" t="s">
        <v>261</v>
      </c>
      <c r="O525" s="4"/>
      <c r="P525" s="24">
        <f t="shared" si="126"/>
        <v>9</v>
      </c>
      <c r="Q525" s="8">
        <f t="shared" si="127"/>
        <v>0</v>
      </c>
      <c r="R525" s="8">
        <f t="shared" si="128"/>
        <v>9</v>
      </c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>
        <v>1</v>
      </c>
      <c r="AK525" s="8"/>
      <c r="AL525" s="8"/>
      <c r="AM525" s="8"/>
      <c r="AN525" s="8"/>
      <c r="AO525" s="8"/>
      <c r="AP525" s="8">
        <v>1</v>
      </c>
      <c r="AQ525" s="8"/>
      <c r="AR525" s="8"/>
      <c r="AS525" s="8"/>
      <c r="AT525" s="8"/>
      <c r="AU525" s="8"/>
      <c r="AV525" s="8"/>
      <c r="AW525" s="8">
        <v>1</v>
      </c>
      <c r="AX525" s="8"/>
      <c r="AY525" s="8">
        <v>2</v>
      </c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>
        <v>1</v>
      </c>
      <c r="BK525" s="8"/>
      <c r="BL525" s="8">
        <v>1</v>
      </c>
      <c r="BM525" s="8"/>
      <c r="BN525" s="8"/>
      <c r="BO525" s="8"/>
      <c r="BP525" s="8"/>
      <c r="BQ525" s="8"/>
      <c r="BR525" s="8"/>
      <c r="BS525" s="8">
        <v>2</v>
      </c>
      <c r="BT525" s="8"/>
      <c r="BU525" s="8"/>
      <c r="BV525" s="8"/>
      <c r="BW525" s="8"/>
      <c r="BX525" s="8"/>
    </row>
    <row r="526" spans="1:76" ht="16.5" customHeight="1" x14ac:dyDescent="0.3">
      <c r="A526" t="s">
        <v>724</v>
      </c>
      <c r="B526" t="s">
        <v>656</v>
      </c>
      <c r="C526" t="s">
        <v>827</v>
      </c>
      <c r="D526" t="s">
        <v>827</v>
      </c>
      <c r="E526" t="s">
        <v>829</v>
      </c>
      <c r="F526" t="s">
        <v>829</v>
      </c>
      <c r="G526" s="5">
        <v>1494544</v>
      </c>
      <c r="H526" s="7" t="s">
        <v>479</v>
      </c>
      <c r="I526" s="5" t="s">
        <v>253</v>
      </c>
      <c r="J526" s="5">
        <v>1</v>
      </c>
      <c r="K526" s="5" t="s">
        <v>102</v>
      </c>
      <c r="L526" s="5" t="s">
        <v>109</v>
      </c>
      <c r="M526" s="5" t="s">
        <v>94</v>
      </c>
      <c r="N526" s="5" t="s">
        <v>258</v>
      </c>
      <c r="O526" s="4"/>
      <c r="P526" s="24">
        <f t="shared" si="126"/>
        <v>8</v>
      </c>
      <c r="Q526" s="8">
        <f t="shared" si="127"/>
        <v>0</v>
      </c>
      <c r="R526" s="8">
        <f t="shared" si="128"/>
        <v>8</v>
      </c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>
        <v>1</v>
      </c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>
        <v>1</v>
      </c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>
        <v>2</v>
      </c>
      <c r="BK526" s="8"/>
      <c r="BL526" s="8">
        <v>1</v>
      </c>
      <c r="BM526" s="8"/>
      <c r="BN526" s="8"/>
      <c r="BO526" s="8"/>
      <c r="BP526" s="8"/>
      <c r="BQ526" s="8">
        <v>2</v>
      </c>
      <c r="BR526" s="8"/>
      <c r="BS526" s="8">
        <v>1</v>
      </c>
      <c r="BT526" s="8"/>
      <c r="BU526" s="8"/>
      <c r="BV526" s="8"/>
      <c r="BW526" s="8"/>
      <c r="BX526" s="8"/>
    </row>
    <row r="527" spans="1:76" ht="16.5" customHeight="1" x14ac:dyDescent="0.3">
      <c r="A527" t="s">
        <v>724</v>
      </c>
      <c r="B527" t="s">
        <v>656</v>
      </c>
      <c r="C527" t="s">
        <v>827</v>
      </c>
      <c r="D527" t="s">
        <v>827</v>
      </c>
      <c r="E527" t="s">
        <v>830</v>
      </c>
      <c r="F527" t="s">
        <v>830</v>
      </c>
      <c r="G527" s="5">
        <v>1494904</v>
      </c>
      <c r="H527" s="7" t="s">
        <v>480</v>
      </c>
      <c r="I527" s="5" t="s">
        <v>253</v>
      </c>
      <c r="J527" s="5">
        <v>1</v>
      </c>
      <c r="K527" s="5" t="s">
        <v>102</v>
      </c>
      <c r="L527" s="5" t="s">
        <v>109</v>
      </c>
      <c r="M527" s="5" t="s">
        <v>94</v>
      </c>
      <c r="N527" s="5" t="s">
        <v>258</v>
      </c>
      <c r="O527" s="4"/>
      <c r="P527" s="24">
        <f t="shared" si="126"/>
        <v>11</v>
      </c>
      <c r="Q527" s="8">
        <f t="shared" si="127"/>
        <v>0</v>
      </c>
      <c r="R527" s="8">
        <f t="shared" si="128"/>
        <v>11</v>
      </c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>
        <v>1</v>
      </c>
      <c r="AK527" s="8"/>
      <c r="AL527" s="8"/>
      <c r="AM527" s="8"/>
      <c r="AN527" s="8"/>
      <c r="AO527" s="8"/>
      <c r="AP527" s="8">
        <v>1</v>
      </c>
      <c r="AQ527" s="8"/>
      <c r="AR527" s="8"/>
      <c r="AS527" s="8"/>
      <c r="AT527" s="8"/>
      <c r="AU527" s="8"/>
      <c r="AV527" s="8"/>
      <c r="AW527" s="8"/>
      <c r="AX527" s="8"/>
      <c r="AY527" s="8">
        <v>2</v>
      </c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>
        <v>3</v>
      </c>
      <c r="BK527" s="8"/>
      <c r="BL527" s="8">
        <v>1</v>
      </c>
      <c r="BM527" s="8"/>
      <c r="BN527" s="8"/>
      <c r="BO527" s="8"/>
      <c r="BP527" s="8"/>
      <c r="BQ527" s="8">
        <v>3</v>
      </c>
      <c r="BR527" s="8"/>
      <c r="BS527" s="8"/>
      <c r="BT527" s="8"/>
      <c r="BU527" s="8"/>
      <c r="BV527" s="8"/>
      <c r="BW527" s="8"/>
      <c r="BX527" s="8"/>
    </row>
    <row r="528" spans="1:76" ht="16.5" customHeight="1" x14ac:dyDescent="0.3">
      <c r="A528" t="s">
        <v>724</v>
      </c>
      <c r="B528" t="s">
        <v>656</v>
      </c>
      <c r="C528" t="s">
        <v>827</v>
      </c>
      <c r="D528" t="s">
        <v>827</v>
      </c>
      <c r="E528" t="s">
        <v>831</v>
      </c>
      <c r="F528" t="s">
        <v>831</v>
      </c>
      <c r="G528" s="5">
        <v>1494905</v>
      </c>
      <c r="H528" s="7" t="s">
        <v>481</v>
      </c>
      <c r="I528" s="5" t="s">
        <v>253</v>
      </c>
      <c r="J528" s="5">
        <v>1</v>
      </c>
      <c r="K528" s="5" t="s">
        <v>102</v>
      </c>
      <c r="L528" s="5" t="s">
        <v>109</v>
      </c>
      <c r="M528" s="5" t="s">
        <v>94</v>
      </c>
      <c r="N528" s="5" t="s">
        <v>258</v>
      </c>
      <c r="O528" s="4"/>
      <c r="P528" s="24">
        <f t="shared" si="126"/>
        <v>8</v>
      </c>
      <c r="Q528" s="8">
        <f t="shared" si="127"/>
        <v>0</v>
      </c>
      <c r="R528" s="8">
        <f t="shared" si="128"/>
        <v>8</v>
      </c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>
        <v>1</v>
      </c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>
        <v>2</v>
      </c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>
        <v>2</v>
      </c>
      <c r="BK528" s="8"/>
      <c r="BL528" s="8"/>
      <c r="BM528" s="8"/>
      <c r="BN528" s="8"/>
      <c r="BO528" s="8"/>
      <c r="BP528" s="8"/>
      <c r="BQ528" s="8">
        <v>2</v>
      </c>
      <c r="BR528" s="8"/>
      <c r="BS528" s="8">
        <v>1</v>
      </c>
      <c r="BT528" s="8"/>
      <c r="BU528" s="8"/>
      <c r="BV528" s="8"/>
      <c r="BW528" s="8"/>
      <c r="BX528" s="8"/>
    </row>
    <row r="529" spans="1:76" ht="16.5" customHeight="1" x14ac:dyDescent="0.3">
      <c r="A529" t="s">
        <v>724</v>
      </c>
      <c r="B529" t="s">
        <v>656</v>
      </c>
      <c r="C529" t="s">
        <v>827</v>
      </c>
      <c r="D529" t="s">
        <v>827</v>
      </c>
      <c r="E529" t="s">
        <v>665</v>
      </c>
      <c r="F529" t="s">
        <v>727</v>
      </c>
      <c r="G529" s="5">
        <v>1494804</v>
      </c>
      <c r="H529" s="7" t="s">
        <v>267</v>
      </c>
      <c r="I529" s="5" t="s">
        <v>253</v>
      </c>
      <c r="J529" s="5">
        <v>1</v>
      </c>
      <c r="K529" s="5" t="s">
        <v>102</v>
      </c>
      <c r="L529" s="5" t="s">
        <v>109</v>
      </c>
      <c r="M529" s="5" t="s">
        <v>94</v>
      </c>
      <c r="N529" s="5" t="s">
        <v>268</v>
      </c>
      <c r="O529" s="4"/>
      <c r="P529" s="24">
        <f t="shared" si="126"/>
        <v>16</v>
      </c>
      <c r="Q529" s="8">
        <f t="shared" si="127"/>
        <v>0</v>
      </c>
      <c r="R529" s="8">
        <f t="shared" si="128"/>
        <v>16</v>
      </c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>
        <v>1</v>
      </c>
      <c r="AJ529" s="8"/>
      <c r="AK529" s="8"/>
      <c r="AL529" s="8"/>
      <c r="AM529" s="8"/>
      <c r="AN529" s="8"/>
      <c r="AO529" s="8">
        <v>1</v>
      </c>
      <c r="AP529" s="8"/>
      <c r="AQ529" s="8"/>
      <c r="AR529" s="8"/>
      <c r="AS529" s="8"/>
      <c r="AT529" s="8"/>
      <c r="AU529" s="8"/>
      <c r="AV529" s="8"/>
      <c r="AW529" s="8"/>
      <c r="AX529" s="8"/>
      <c r="AY529" s="8">
        <v>3</v>
      </c>
      <c r="AZ529" s="8"/>
      <c r="BA529" s="8"/>
      <c r="BB529" s="8"/>
      <c r="BC529" s="8"/>
      <c r="BD529" s="8"/>
      <c r="BE529" s="8"/>
      <c r="BF529" s="8"/>
      <c r="BG529" s="8"/>
      <c r="BH529" s="8">
        <v>1</v>
      </c>
      <c r="BI529" s="8">
        <v>2</v>
      </c>
      <c r="BJ529" s="8">
        <v>1</v>
      </c>
      <c r="BK529" s="8"/>
      <c r="BL529" s="8">
        <v>1</v>
      </c>
      <c r="BM529" s="8"/>
      <c r="BN529" s="8"/>
      <c r="BO529" s="8"/>
      <c r="BP529" s="8">
        <v>3</v>
      </c>
      <c r="BQ529" s="8">
        <v>2</v>
      </c>
      <c r="BR529" s="8"/>
      <c r="BS529" s="8">
        <v>1</v>
      </c>
      <c r="BT529" s="8"/>
      <c r="BU529" s="8"/>
      <c r="BV529" s="8"/>
      <c r="BW529" s="8"/>
      <c r="BX529" s="8"/>
    </row>
    <row r="530" spans="1:76" ht="16.5" customHeight="1" x14ac:dyDescent="0.3">
      <c r="A530" t="s">
        <v>724</v>
      </c>
      <c r="B530" t="s">
        <v>656</v>
      </c>
      <c r="C530" t="s">
        <v>827</v>
      </c>
      <c r="D530" t="s">
        <v>827</v>
      </c>
      <c r="E530" t="s">
        <v>728</v>
      </c>
      <c r="F530" t="s">
        <v>728</v>
      </c>
      <c r="G530" s="5">
        <v>1494805</v>
      </c>
      <c r="H530" s="7" t="s">
        <v>269</v>
      </c>
      <c r="I530" s="5" t="s">
        <v>253</v>
      </c>
      <c r="J530" s="5">
        <v>1</v>
      </c>
      <c r="K530" s="5" t="s">
        <v>102</v>
      </c>
      <c r="L530" s="5" t="s">
        <v>109</v>
      </c>
      <c r="M530" s="5" t="s">
        <v>94</v>
      </c>
      <c r="N530" s="5" t="s">
        <v>268</v>
      </c>
      <c r="O530" s="4"/>
      <c r="P530" s="24">
        <f t="shared" si="126"/>
        <v>19</v>
      </c>
      <c r="Q530" s="8">
        <f t="shared" si="127"/>
        <v>0</v>
      </c>
      <c r="R530" s="8">
        <f t="shared" si="128"/>
        <v>19</v>
      </c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>
        <v>1</v>
      </c>
      <c r="AK530" s="8"/>
      <c r="AL530" s="8"/>
      <c r="AM530" s="8"/>
      <c r="AN530" s="8">
        <v>1</v>
      </c>
      <c r="AO530" s="8"/>
      <c r="AP530" s="8"/>
      <c r="AQ530" s="8"/>
      <c r="AR530" s="8"/>
      <c r="AS530" s="8"/>
      <c r="AT530" s="8"/>
      <c r="AU530" s="8"/>
      <c r="AV530" s="8"/>
      <c r="AW530" s="8">
        <v>1</v>
      </c>
      <c r="AX530" s="8"/>
      <c r="AY530" s="8">
        <v>3</v>
      </c>
      <c r="AZ530" s="8"/>
      <c r="BA530" s="8"/>
      <c r="BB530" s="8"/>
      <c r="BC530" s="8"/>
      <c r="BD530" s="8"/>
      <c r="BE530" s="8"/>
      <c r="BF530" s="8">
        <v>1</v>
      </c>
      <c r="BG530" s="8"/>
      <c r="BH530" s="8">
        <v>1</v>
      </c>
      <c r="BI530" s="8"/>
      <c r="BJ530" s="8"/>
      <c r="BK530" s="8"/>
      <c r="BL530" s="8">
        <v>1</v>
      </c>
      <c r="BM530" s="8"/>
      <c r="BN530" s="8"/>
      <c r="BO530" s="8"/>
      <c r="BP530" s="8"/>
      <c r="BQ530" s="8">
        <v>2</v>
      </c>
      <c r="BR530" s="8">
        <v>1</v>
      </c>
      <c r="BS530" s="8">
        <v>3</v>
      </c>
      <c r="BT530" s="8">
        <v>1</v>
      </c>
      <c r="BU530" s="8">
        <v>1</v>
      </c>
      <c r="BV530" s="8">
        <v>1</v>
      </c>
      <c r="BW530" s="8">
        <v>1</v>
      </c>
      <c r="BX530" s="8"/>
    </row>
    <row r="531" spans="1:76" ht="16.5" customHeight="1" x14ac:dyDescent="0.3">
      <c r="A531" t="s">
        <v>724</v>
      </c>
      <c r="B531" t="s">
        <v>656</v>
      </c>
      <c r="C531" t="s">
        <v>827</v>
      </c>
      <c r="D531" t="s">
        <v>827</v>
      </c>
      <c r="E531" t="s">
        <v>729</v>
      </c>
      <c r="F531" t="s">
        <v>729</v>
      </c>
      <c r="G531" s="5">
        <v>1494806</v>
      </c>
      <c r="H531" s="7" t="s">
        <v>270</v>
      </c>
      <c r="I531" s="5" t="s">
        <v>253</v>
      </c>
      <c r="J531" s="5">
        <v>1</v>
      </c>
      <c r="K531" s="5" t="s">
        <v>102</v>
      </c>
      <c r="L531" s="5" t="s">
        <v>109</v>
      </c>
      <c r="M531" s="5" t="s">
        <v>94</v>
      </c>
      <c r="N531" s="5" t="s">
        <v>268</v>
      </c>
      <c r="O531" s="4"/>
      <c r="P531" s="24">
        <f t="shared" si="126"/>
        <v>11</v>
      </c>
      <c r="Q531" s="8">
        <f t="shared" si="127"/>
        <v>0</v>
      </c>
      <c r="R531" s="8">
        <f t="shared" si="128"/>
        <v>11</v>
      </c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>
        <v>1</v>
      </c>
      <c r="AK531" s="8"/>
      <c r="AL531" s="8"/>
      <c r="AM531" s="8"/>
      <c r="AN531" s="8">
        <v>1</v>
      </c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>
        <v>4</v>
      </c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>
        <v>4</v>
      </c>
      <c r="BK531" s="8"/>
      <c r="BL531" s="8">
        <v>1</v>
      </c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</row>
    <row r="532" spans="1:76" ht="16.5" customHeight="1" x14ac:dyDescent="0.3">
      <c r="A532" t="s">
        <v>724</v>
      </c>
      <c r="B532" t="s">
        <v>656</v>
      </c>
      <c r="C532" t="s">
        <v>827</v>
      </c>
      <c r="D532" t="s">
        <v>827</v>
      </c>
      <c r="E532" t="s">
        <v>730</v>
      </c>
      <c r="F532" t="s">
        <v>730</v>
      </c>
      <c r="G532" s="5">
        <v>1494900</v>
      </c>
      <c r="H532" s="7" t="s">
        <v>271</v>
      </c>
      <c r="I532" s="5" t="s">
        <v>253</v>
      </c>
      <c r="J532" s="5">
        <v>1</v>
      </c>
      <c r="K532" s="5" t="s">
        <v>102</v>
      </c>
      <c r="L532" s="5" t="s">
        <v>109</v>
      </c>
      <c r="M532" s="5" t="s">
        <v>94</v>
      </c>
      <c r="N532" s="5" t="s">
        <v>268</v>
      </c>
      <c r="O532" s="4"/>
      <c r="P532" s="24">
        <f t="shared" si="126"/>
        <v>19</v>
      </c>
      <c r="Q532" s="8">
        <f t="shared" si="127"/>
        <v>0</v>
      </c>
      <c r="R532" s="8">
        <f t="shared" si="128"/>
        <v>19</v>
      </c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>
        <v>1</v>
      </c>
      <c r="AF532" s="8"/>
      <c r="AG532" s="8"/>
      <c r="AH532" s="8"/>
      <c r="AI532" s="8"/>
      <c r="AJ532" s="8"/>
      <c r="AK532" s="8"/>
      <c r="AL532" s="8"/>
      <c r="AM532" s="8"/>
      <c r="AN532" s="8">
        <v>7</v>
      </c>
      <c r="AO532" s="8"/>
      <c r="AP532" s="8"/>
      <c r="AQ532" s="8"/>
      <c r="AR532" s="8"/>
      <c r="AS532" s="8"/>
      <c r="AT532" s="8"/>
      <c r="AU532" s="8"/>
      <c r="AV532" s="8"/>
      <c r="AW532" s="8">
        <v>7</v>
      </c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>
        <v>3</v>
      </c>
      <c r="BI532" s="8"/>
      <c r="BJ532" s="8"/>
      <c r="BK532" s="8"/>
      <c r="BL532" s="8"/>
      <c r="BM532" s="8"/>
      <c r="BN532" s="8"/>
      <c r="BO532" s="8">
        <v>1</v>
      </c>
      <c r="BP532" s="8"/>
      <c r="BQ532" s="8"/>
      <c r="BR532" s="8"/>
      <c r="BS532" s="8"/>
      <c r="BT532" s="8"/>
      <c r="BU532" s="8"/>
      <c r="BV532" s="8"/>
      <c r="BW532" s="8"/>
      <c r="BX532" s="8"/>
    </row>
    <row r="533" spans="1:76" ht="16.5" customHeight="1" x14ac:dyDescent="0.3">
      <c r="A533" t="s">
        <v>724</v>
      </c>
      <c r="B533" t="s">
        <v>656</v>
      </c>
      <c r="C533" t="s">
        <v>827</v>
      </c>
      <c r="D533" t="s">
        <v>827</v>
      </c>
      <c r="E533" t="s">
        <v>670</v>
      </c>
      <c r="F533" t="s">
        <v>670</v>
      </c>
      <c r="G533" s="5">
        <v>1495001</v>
      </c>
      <c r="H533" s="7" t="s">
        <v>273</v>
      </c>
      <c r="I533" s="5" t="s">
        <v>253</v>
      </c>
      <c r="J533" s="5">
        <v>1</v>
      </c>
      <c r="K533" s="5" t="s">
        <v>102</v>
      </c>
      <c r="L533" s="5" t="s">
        <v>109</v>
      </c>
      <c r="M533" s="5" t="s">
        <v>94</v>
      </c>
      <c r="N533" s="5" t="s">
        <v>268</v>
      </c>
      <c r="O533" s="4"/>
      <c r="P533" s="24">
        <f t="shared" si="126"/>
        <v>22</v>
      </c>
      <c r="Q533" s="8">
        <f t="shared" si="127"/>
        <v>0</v>
      </c>
      <c r="R533" s="8">
        <f t="shared" si="128"/>
        <v>22</v>
      </c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>
        <v>1</v>
      </c>
      <c r="AJ533" s="8"/>
      <c r="AK533" s="8"/>
      <c r="AL533" s="8"/>
      <c r="AM533" s="8"/>
      <c r="AN533" s="8">
        <v>8</v>
      </c>
      <c r="AO533" s="8"/>
      <c r="AP533" s="8"/>
      <c r="AQ533" s="8"/>
      <c r="AR533" s="8"/>
      <c r="AS533" s="8"/>
      <c r="AT533" s="8"/>
      <c r="AU533" s="8"/>
      <c r="AV533" s="8"/>
      <c r="AW533" s="8">
        <v>9</v>
      </c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>
        <v>3</v>
      </c>
      <c r="BI533" s="8"/>
      <c r="BJ533" s="8"/>
      <c r="BK533" s="8"/>
      <c r="BL533" s="8"/>
      <c r="BM533" s="8"/>
      <c r="BN533" s="8"/>
      <c r="BO533" s="8">
        <v>1</v>
      </c>
      <c r="BP533" s="8"/>
      <c r="BQ533" s="8"/>
      <c r="BR533" s="8"/>
      <c r="BS533" s="8"/>
      <c r="BT533" s="8"/>
      <c r="BU533" s="8"/>
      <c r="BV533" s="8"/>
      <c r="BW533" s="8"/>
      <c r="BX533" s="8"/>
    </row>
    <row r="534" spans="1:76" ht="16.5" customHeight="1" x14ac:dyDescent="0.3">
      <c r="A534" t="s">
        <v>724</v>
      </c>
      <c r="B534" t="s">
        <v>656</v>
      </c>
      <c r="C534" t="s">
        <v>827</v>
      </c>
      <c r="D534" t="s">
        <v>827</v>
      </c>
      <c r="E534" t="s">
        <v>731</v>
      </c>
      <c r="F534" t="s">
        <v>731</v>
      </c>
      <c r="G534" s="5">
        <v>1495008</v>
      </c>
      <c r="H534" s="7" t="s">
        <v>274</v>
      </c>
      <c r="I534" s="5" t="s">
        <v>253</v>
      </c>
      <c r="J534" s="5">
        <v>1</v>
      </c>
      <c r="K534" s="5" t="s">
        <v>102</v>
      </c>
      <c r="L534" s="5" t="s">
        <v>109</v>
      </c>
      <c r="M534" s="5" t="s">
        <v>94</v>
      </c>
      <c r="N534" s="5" t="s">
        <v>268</v>
      </c>
      <c r="O534" s="4"/>
      <c r="P534" s="24">
        <f t="shared" si="126"/>
        <v>21</v>
      </c>
      <c r="Q534" s="8">
        <f t="shared" si="127"/>
        <v>0</v>
      </c>
      <c r="R534" s="8">
        <f t="shared" si="128"/>
        <v>21</v>
      </c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>
        <v>1</v>
      </c>
      <c r="AJ534" s="8"/>
      <c r="AK534" s="8"/>
      <c r="AL534" s="8"/>
      <c r="AM534" s="8"/>
      <c r="AN534" s="8">
        <v>8</v>
      </c>
      <c r="AO534" s="8"/>
      <c r="AP534" s="8"/>
      <c r="AQ534" s="8"/>
      <c r="AR534" s="8"/>
      <c r="AS534" s="8"/>
      <c r="AT534" s="8"/>
      <c r="AU534" s="8"/>
      <c r="AV534" s="8"/>
      <c r="AW534" s="8">
        <v>9</v>
      </c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>
        <v>2</v>
      </c>
      <c r="BI534" s="8"/>
      <c r="BJ534" s="8"/>
      <c r="BK534" s="8"/>
      <c r="BL534" s="8"/>
      <c r="BM534" s="8"/>
      <c r="BN534" s="8"/>
      <c r="BO534" s="8">
        <v>1</v>
      </c>
      <c r="BP534" s="8"/>
      <c r="BQ534" s="8"/>
      <c r="BR534" s="8"/>
      <c r="BS534" s="8"/>
      <c r="BT534" s="8"/>
      <c r="BU534" s="8"/>
      <c r="BV534" s="8"/>
      <c r="BW534" s="8"/>
      <c r="BX534" s="8"/>
    </row>
    <row r="535" spans="1:76" ht="16.5" customHeight="1" x14ac:dyDescent="0.3">
      <c r="A535" t="s">
        <v>724</v>
      </c>
      <c r="B535" t="s">
        <v>656</v>
      </c>
      <c r="C535" t="s">
        <v>827</v>
      </c>
      <c r="D535" t="s">
        <v>827</v>
      </c>
      <c r="E535" t="s">
        <v>732</v>
      </c>
      <c r="F535" t="s">
        <v>732</v>
      </c>
      <c r="G535" s="5">
        <v>1495015</v>
      </c>
      <c r="H535" s="7" t="s">
        <v>276</v>
      </c>
      <c r="I535" s="5" t="s">
        <v>253</v>
      </c>
      <c r="J535" s="5">
        <v>1</v>
      </c>
      <c r="K535" s="5" t="s">
        <v>102</v>
      </c>
      <c r="L535" s="5" t="s">
        <v>109</v>
      </c>
      <c r="M535" s="5" t="s">
        <v>94</v>
      </c>
      <c r="N535" s="5" t="s">
        <v>268</v>
      </c>
      <c r="O535" s="4"/>
      <c r="P535" s="24">
        <f t="shared" si="126"/>
        <v>21</v>
      </c>
      <c r="Q535" s="8">
        <f t="shared" si="127"/>
        <v>0</v>
      </c>
      <c r="R535" s="8">
        <f t="shared" si="128"/>
        <v>21</v>
      </c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>
        <v>1</v>
      </c>
      <c r="AH535" s="8"/>
      <c r="AI535" s="8"/>
      <c r="AJ535" s="8"/>
      <c r="AK535" s="8"/>
      <c r="AL535" s="8"/>
      <c r="AM535" s="8"/>
      <c r="AN535" s="8">
        <v>7</v>
      </c>
      <c r="AO535" s="8"/>
      <c r="AP535" s="8"/>
      <c r="AQ535" s="8">
        <v>1</v>
      </c>
      <c r="AR535" s="8"/>
      <c r="AS535" s="8"/>
      <c r="AT535" s="8"/>
      <c r="AU535" s="8"/>
      <c r="AV535" s="8"/>
      <c r="AW535" s="8">
        <v>7</v>
      </c>
      <c r="AX535" s="8"/>
      <c r="AY535" s="8"/>
      <c r="AZ535" s="8">
        <v>2</v>
      </c>
      <c r="BA535" s="8"/>
      <c r="BB535" s="8"/>
      <c r="BC535" s="8"/>
      <c r="BD535" s="8"/>
      <c r="BE535" s="8"/>
      <c r="BF535" s="8"/>
      <c r="BG535" s="8"/>
      <c r="BH535" s="8">
        <v>2</v>
      </c>
      <c r="BI535" s="8"/>
      <c r="BJ535" s="8"/>
      <c r="BK535" s="8"/>
      <c r="BL535" s="8"/>
      <c r="BM535" s="8"/>
      <c r="BN535" s="8"/>
      <c r="BO535" s="8">
        <v>1</v>
      </c>
      <c r="BP535" s="8"/>
      <c r="BQ535" s="8"/>
      <c r="BR535" s="8"/>
      <c r="BS535" s="8"/>
      <c r="BT535" s="8"/>
      <c r="BU535" s="8"/>
      <c r="BV535" s="8"/>
      <c r="BW535" s="8"/>
      <c r="BX535" s="8"/>
    </row>
    <row r="536" spans="1:76" ht="16.5" customHeight="1" x14ac:dyDescent="0.3">
      <c r="A536" t="s">
        <v>724</v>
      </c>
      <c r="B536" t="s">
        <v>656</v>
      </c>
      <c r="C536" t="s">
        <v>827</v>
      </c>
      <c r="D536" t="s">
        <v>827</v>
      </c>
      <c r="E536" t="s">
        <v>733</v>
      </c>
      <c r="F536" t="s">
        <v>733</v>
      </c>
      <c r="G536" s="5">
        <v>1495022</v>
      </c>
      <c r="H536" s="7" t="s">
        <v>277</v>
      </c>
      <c r="I536" s="5" t="s">
        <v>253</v>
      </c>
      <c r="J536" s="5">
        <v>1</v>
      </c>
      <c r="K536" s="5" t="s">
        <v>102</v>
      </c>
      <c r="L536" s="5" t="s">
        <v>109</v>
      </c>
      <c r="M536" s="5" t="s">
        <v>94</v>
      </c>
      <c r="N536" s="5" t="s">
        <v>268</v>
      </c>
      <c r="O536" s="4"/>
      <c r="P536" s="24">
        <f t="shared" si="126"/>
        <v>30</v>
      </c>
      <c r="Q536" s="8">
        <f t="shared" si="127"/>
        <v>0</v>
      </c>
      <c r="R536" s="8">
        <f t="shared" si="128"/>
        <v>30</v>
      </c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>
        <v>1</v>
      </c>
      <c r="AH536" s="8"/>
      <c r="AI536" s="8"/>
      <c r="AJ536" s="8"/>
      <c r="AK536" s="8">
        <v>2</v>
      </c>
      <c r="AL536" s="8"/>
      <c r="AM536" s="8"/>
      <c r="AN536" s="8">
        <v>1</v>
      </c>
      <c r="AO536" s="8"/>
      <c r="AP536" s="8"/>
      <c r="AQ536" s="8">
        <v>6</v>
      </c>
      <c r="AR536" s="8"/>
      <c r="AS536" s="8"/>
      <c r="AT536" s="8"/>
      <c r="AU536" s="8">
        <v>2</v>
      </c>
      <c r="AV536" s="8">
        <v>1</v>
      </c>
      <c r="AW536" s="8"/>
      <c r="AX536" s="8"/>
      <c r="AY536" s="8"/>
      <c r="AZ536" s="8">
        <v>14</v>
      </c>
      <c r="BA536" s="8"/>
      <c r="BB536" s="8"/>
      <c r="BC536" s="8"/>
      <c r="BD536" s="8">
        <v>1</v>
      </c>
      <c r="BE536" s="8">
        <v>1</v>
      </c>
      <c r="BF536" s="8"/>
      <c r="BG536" s="8"/>
      <c r="BH536" s="8">
        <v>1</v>
      </c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</row>
    <row r="537" spans="1:76" ht="16.5" customHeight="1" x14ac:dyDescent="0.3">
      <c r="A537" t="s">
        <v>724</v>
      </c>
      <c r="B537" t="s">
        <v>656</v>
      </c>
      <c r="C537" t="s">
        <v>827</v>
      </c>
      <c r="D537" t="s">
        <v>827</v>
      </c>
      <c r="E537" t="s">
        <v>734</v>
      </c>
      <c r="F537" t="s">
        <v>734</v>
      </c>
      <c r="G537" s="5">
        <v>1495029</v>
      </c>
      <c r="H537" s="7" t="s">
        <v>278</v>
      </c>
      <c r="I537" s="5" t="s">
        <v>253</v>
      </c>
      <c r="J537" s="5">
        <v>1</v>
      </c>
      <c r="K537" s="5" t="s">
        <v>102</v>
      </c>
      <c r="L537" s="5" t="s">
        <v>109</v>
      </c>
      <c r="M537" s="5" t="s">
        <v>94</v>
      </c>
      <c r="N537" s="5" t="s">
        <v>268</v>
      </c>
      <c r="O537" s="4"/>
      <c r="P537" s="24">
        <f t="shared" si="126"/>
        <v>15</v>
      </c>
      <c r="Q537" s="8">
        <f t="shared" si="127"/>
        <v>0</v>
      </c>
      <c r="R537" s="8">
        <f t="shared" si="128"/>
        <v>15</v>
      </c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>
        <v>1</v>
      </c>
      <c r="AJ537" s="8"/>
      <c r="AK537" s="8"/>
      <c r="AL537" s="8"/>
      <c r="AM537" s="8"/>
      <c r="AN537" s="8"/>
      <c r="AO537" s="8"/>
      <c r="AP537" s="8"/>
      <c r="AQ537" s="8">
        <v>4</v>
      </c>
      <c r="AR537" s="8"/>
      <c r="AS537" s="8"/>
      <c r="AT537" s="8"/>
      <c r="AU537" s="8">
        <v>1</v>
      </c>
      <c r="AV537" s="8"/>
      <c r="AW537" s="8">
        <v>1</v>
      </c>
      <c r="AX537" s="8"/>
      <c r="AY537" s="8"/>
      <c r="AZ537" s="8">
        <v>5</v>
      </c>
      <c r="BA537" s="8"/>
      <c r="BB537" s="8"/>
      <c r="BC537" s="8"/>
      <c r="BD537" s="8">
        <v>2</v>
      </c>
      <c r="BE537" s="8"/>
      <c r="BF537" s="8"/>
      <c r="BG537" s="8"/>
      <c r="BH537" s="8">
        <v>1</v>
      </c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</row>
    <row r="538" spans="1:76" ht="16.5" customHeight="1" x14ac:dyDescent="0.3">
      <c r="A538" t="s">
        <v>724</v>
      </c>
      <c r="B538" t="s">
        <v>656</v>
      </c>
      <c r="C538" t="s">
        <v>827</v>
      </c>
      <c r="D538" t="s">
        <v>827</v>
      </c>
      <c r="E538" t="s">
        <v>735</v>
      </c>
      <c r="F538" t="s">
        <v>735</v>
      </c>
      <c r="G538" s="5">
        <v>1495035</v>
      </c>
      <c r="H538" s="7" t="s">
        <v>279</v>
      </c>
      <c r="I538" s="5" t="s">
        <v>253</v>
      </c>
      <c r="J538" s="5">
        <v>1</v>
      </c>
      <c r="K538" s="5" t="s">
        <v>102</v>
      </c>
      <c r="L538" s="5" t="s">
        <v>109</v>
      </c>
      <c r="M538" s="5" t="s">
        <v>94</v>
      </c>
      <c r="N538" s="5" t="s">
        <v>268</v>
      </c>
      <c r="O538" s="4"/>
      <c r="P538" s="24">
        <f t="shared" si="126"/>
        <v>13</v>
      </c>
      <c r="Q538" s="8">
        <f t="shared" si="127"/>
        <v>0</v>
      </c>
      <c r="R538" s="8">
        <f t="shared" si="128"/>
        <v>13</v>
      </c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>
        <v>1</v>
      </c>
      <c r="AL538" s="8"/>
      <c r="AM538" s="8"/>
      <c r="AN538" s="8"/>
      <c r="AO538" s="8"/>
      <c r="AP538" s="8"/>
      <c r="AQ538" s="8">
        <v>4</v>
      </c>
      <c r="AR538" s="8"/>
      <c r="AS538" s="8"/>
      <c r="AT538" s="8"/>
      <c r="AU538" s="8"/>
      <c r="AV538" s="8">
        <v>1</v>
      </c>
      <c r="AW538" s="8"/>
      <c r="AX538" s="8"/>
      <c r="AY538" s="8"/>
      <c r="AZ538" s="8">
        <v>4</v>
      </c>
      <c r="BA538" s="8"/>
      <c r="BB538" s="8"/>
      <c r="BC538" s="8"/>
      <c r="BD538" s="8"/>
      <c r="BE538" s="8">
        <v>1</v>
      </c>
      <c r="BF538" s="8"/>
      <c r="BG538" s="8"/>
      <c r="BH538" s="8">
        <v>2</v>
      </c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</row>
    <row r="539" spans="1:76" ht="16.5" customHeight="1" x14ac:dyDescent="0.3">
      <c r="A539" t="s">
        <v>724</v>
      </c>
      <c r="B539" t="s">
        <v>656</v>
      </c>
      <c r="C539" t="s">
        <v>827</v>
      </c>
      <c r="D539" t="s">
        <v>827</v>
      </c>
      <c r="E539" t="s">
        <v>736</v>
      </c>
      <c r="F539" t="s">
        <v>736</v>
      </c>
      <c r="G539" s="5">
        <v>1495040</v>
      </c>
      <c r="H539" s="7" t="s">
        <v>217</v>
      </c>
      <c r="I539" s="5" t="s">
        <v>253</v>
      </c>
      <c r="J539" s="5">
        <v>1</v>
      </c>
      <c r="K539" s="5" t="s">
        <v>102</v>
      </c>
      <c r="L539" s="5" t="s">
        <v>109</v>
      </c>
      <c r="M539" s="5" t="s">
        <v>94</v>
      </c>
      <c r="N539" s="5" t="s">
        <v>268</v>
      </c>
      <c r="O539" s="4"/>
      <c r="P539" s="24">
        <f t="shared" si="126"/>
        <v>17</v>
      </c>
      <c r="Q539" s="8">
        <f t="shared" si="127"/>
        <v>0</v>
      </c>
      <c r="R539" s="8">
        <f t="shared" si="128"/>
        <v>17</v>
      </c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>
        <v>1</v>
      </c>
      <c r="AL539" s="8"/>
      <c r="AM539" s="8"/>
      <c r="AN539" s="8"/>
      <c r="AO539" s="8"/>
      <c r="AP539" s="8"/>
      <c r="AQ539" s="8">
        <v>5</v>
      </c>
      <c r="AR539" s="8"/>
      <c r="AS539" s="8"/>
      <c r="AT539" s="8"/>
      <c r="AU539" s="8">
        <v>2</v>
      </c>
      <c r="AV539" s="8">
        <v>1</v>
      </c>
      <c r="AW539" s="8"/>
      <c r="AX539" s="8"/>
      <c r="AY539" s="8"/>
      <c r="AZ539" s="8">
        <v>5</v>
      </c>
      <c r="BA539" s="8"/>
      <c r="BB539" s="8"/>
      <c r="BC539" s="8"/>
      <c r="BD539" s="8">
        <v>1</v>
      </c>
      <c r="BE539" s="8"/>
      <c r="BF539" s="8"/>
      <c r="BG539" s="8"/>
      <c r="BH539" s="8">
        <v>2</v>
      </c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</row>
    <row r="540" spans="1:76" ht="16.5" customHeight="1" x14ac:dyDescent="0.3">
      <c r="G540" s="14">
        <v>1494393</v>
      </c>
      <c r="H540" s="15" t="s">
        <v>482</v>
      </c>
      <c r="I540" s="14" t="s">
        <v>253</v>
      </c>
      <c r="J540" s="14">
        <v>2</v>
      </c>
      <c r="K540" s="14" t="s">
        <v>254</v>
      </c>
      <c r="L540" s="14" t="s">
        <v>255</v>
      </c>
      <c r="M540" s="14" t="s">
        <v>94</v>
      </c>
      <c r="N540" s="14" t="s">
        <v>110</v>
      </c>
      <c r="O540" s="13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</row>
    <row r="541" spans="1:76" ht="16.5" customHeight="1" x14ac:dyDescent="0.3">
      <c r="A541" t="s">
        <v>724</v>
      </c>
      <c r="B541" t="s">
        <v>656</v>
      </c>
      <c r="C541" t="s">
        <v>827</v>
      </c>
      <c r="D541" t="s">
        <v>832</v>
      </c>
      <c r="E541" t="s">
        <v>832</v>
      </c>
      <c r="F541" t="s">
        <v>832</v>
      </c>
      <c r="G541" s="5">
        <v>1494393</v>
      </c>
      <c r="H541" s="38" t="s">
        <v>483</v>
      </c>
      <c r="I541" s="5" t="s">
        <v>253</v>
      </c>
      <c r="J541" s="5">
        <v>2</v>
      </c>
      <c r="K541" s="5" t="s">
        <v>254</v>
      </c>
      <c r="L541" s="5" t="s">
        <v>255</v>
      </c>
      <c r="M541" s="5" t="s">
        <v>94</v>
      </c>
      <c r="N541" s="5" t="s">
        <v>110</v>
      </c>
      <c r="O541" s="4"/>
      <c r="P541" s="24">
        <f t="shared" ref="P541:P551" si="129">SUM(Q541,R541)</f>
        <v>1</v>
      </c>
      <c r="Q541" s="8">
        <f t="shared" ref="Q541:Q551" si="130">S541</f>
        <v>0</v>
      </c>
      <c r="R541" s="8">
        <f t="shared" ref="R541:R551" si="131">SUM(T541:BX541)</f>
        <v>1</v>
      </c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>
        <v>1</v>
      </c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</row>
    <row r="542" spans="1:76" ht="16.5" customHeight="1" x14ac:dyDescent="0.3">
      <c r="A542" t="s">
        <v>724</v>
      </c>
      <c r="B542" t="s">
        <v>656</v>
      </c>
      <c r="C542" t="s">
        <v>827</v>
      </c>
      <c r="D542" t="s">
        <v>832</v>
      </c>
      <c r="E542" t="s">
        <v>833</v>
      </c>
      <c r="F542" t="s">
        <v>833</v>
      </c>
      <c r="G542" s="5">
        <v>1494394</v>
      </c>
      <c r="H542" s="7" t="s">
        <v>484</v>
      </c>
      <c r="I542" s="5" t="s">
        <v>253</v>
      </c>
      <c r="J542" s="5">
        <v>2</v>
      </c>
      <c r="K542" s="5" t="s">
        <v>102</v>
      </c>
      <c r="L542" s="5" t="s">
        <v>109</v>
      </c>
      <c r="M542" s="5" t="s">
        <v>94</v>
      </c>
      <c r="N542" s="5" t="s">
        <v>283</v>
      </c>
      <c r="O542" s="4"/>
      <c r="P542" s="24">
        <f t="shared" si="129"/>
        <v>44</v>
      </c>
      <c r="Q542" s="8">
        <f t="shared" si="130"/>
        <v>0</v>
      </c>
      <c r="R542" s="8">
        <f t="shared" si="131"/>
        <v>44</v>
      </c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>
        <v>1</v>
      </c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>
        <v>4</v>
      </c>
      <c r="AQ542" s="8"/>
      <c r="AR542" s="8"/>
      <c r="AS542" s="8"/>
      <c r="AT542" s="8"/>
      <c r="AU542" s="8"/>
      <c r="AV542" s="8"/>
      <c r="AW542" s="8">
        <v>1</v>
      </c>
      <c r="AX542" s="8"/>
      <c r="AY542" s="8">
        <v>10</v>
      </c>
      <c r="AZ542" s="8"/>
      <c r="BA542" s="8"/>
      <c r="BB542" s="8"/>
      <c r="BC542" s="8"/>
      <c r="BD542" s="8"/>
      <c r="BE542" s="8"/>
      <c r="BF542" s="8"/>
      <c r="BG542" s="8"/>
      <c r="BH542" s="8">
        <v>1</v>
      </c>
      <c r="BI542" s="8"/>
      <c r="BJ542" s="8">
        <v>10</v>
      </c>
      <c r="BK542" s="8"/>
      <c r="BL542" s="8">
        <v>3</v>
      </c>
      <c r="BM542" s="8"/>
      <c r="BN542" s="8"/>
      <c r="BO542" s="8"/>
      <c r="BP542" s="8"/>
      <c r="BQ542" s="8">
        <v>8</v>
      </c>
      <c r="BR542" s="8"/>
      <c r="BS542" s="8">
        <v>6</v>
      </c>
      <c r="BT542" s="8"/>
      <c r="BU542" s="8"/>
      <c r="BV542" s="8"/>
      <c r="BW542" s="8"/>
      <c r="BX542" s="8"/>
    </row>
    <row r="543" spans="1:76" ht="16.5" customHeight="1" x14ac:dyDescent="0.3">
      <c r="A543" t="s">
        <v>724</v>
      </c>
      <c r="B543" t="s">
        <v>656</v>
      </c>
      <c r="C543" t="s">
        <v>827</v>
      </c>
      <c r="D543" t="s">
        <v>832</v>
      </c>
      <c r="E543" t="s">
        <v>834</v>
      </c>
      <c r="F543" t="s">
        <v>834</v>
      </c>
      <c r="G543" s="5">
        <v>1494928</v>
      </c>
      <c r="H543" s="7" t="s">
        <v>485</v>
      </c>
      <c r="I543" s="5" t="s">
        <v>253</v>
      </c>
      <c r="J543" s="5">
        <v>2</v>
      </c>
      <c r="K543" s="5" t="s">
        <v>102</v>
      </c>
      <c r="L543" s="5" t="s">
        <v>109</v>
      </c>
      <c r="M543" s="5" t="s">
        <v>94</v>
      </c>
      <c r="N543" s="5" t="s">
        <v>283</v>
      </c>
      <c r="O543" s="4"/>
      <c r="P543" s="24">
        <f t="shared" si="129"/>
        <v>8</v>
      </c>
      <c r="Q543" s="8">
        <f t="shared" si="130"/>
        <v>0</v>
      </c>
      <c r="R543" s="8">
        <f t="shared" si="131"/>
        <v>8</v>
      </c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>
        <v>1</v>
      </c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>
        <v>2</v>
      </c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>
        <v>1</v>
      </c>
      <c r="BK543" s="8"/>
      <c r="BL543" s="8">
        <v>1</v>
      </c>
      <c r="BM543" s="8"/>
      <c r="BN543" s="8"/>
      <c r="BO543" s="8"/>
      <c r="BP543" s="8"/>
      <c r="BQ543" s="8">
        <v>2</v>
      </c>
      <c r="BR543" s="8"/>
      <c r="BS543" s="8">
        <v>1</v>
      </c>
      <c r="BT543" s="8"/>
      <c r="BU543" s="8"/>
      <c r="BV543" s="8"/>
      <c r="BW543" s="8"/>
      <c r="BX543" s="8"/>
    </row>
    <row r="544" spans="1:76" ht="16.5" customHeight="1" x14ac:dyDescent="0.3">
      <c r="A544" t="s">
        <v>724</v>
      </c>
      <c r="B544" t="s">
        <v>656</v>
      </c>
      <c r="C544" t="s">
        <v>827</v>
      </c>
      <c r="D544" t="s">
        <v>832</v>
      </c>
      <c r="E544" t="s">
        <v>728</v>
      </c>
      <c r="F544" t="s">
        <v>728</v>
      </c>
      <c r="G544" s="5">
        <v>1494870</v>
      </c>
      <c r="H544" s="7" t="s">
        <v>286</v>
      </c>
      <c r="I544" s="5" t="s">
        <v>253</v>
      </c>
      <c r="J544" s="5">
        <v>2</v>
      </c>
      <c r="K544" s="5" t="s">
        <v>102</v>
      </c>
      <c r="L544" s="5" t="s">
        <v>109</v>
      </c>
      <c r="M544" s="5" t="s">
        <v>94</v>
      </c>
      <c r="N544" s="5" t="s">
        <v>285</v>
      </c>
      <c r="O544" s="4"/>
      <c r="P544" s="24">
        <f t="shared" si="129"/>
        <v>10</v>
      </c>
      <c r="Q544" s="8">
        <f t="shared" si="130"/>
        <v>0</v>
      </c>
      <c r="R544" s="8">
        <f t="shared" si="131"/>
        <v>10</v>
      </c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>
        <v>1</v>
      </c>
      <c r="AK544" s="8"/>
      <c r="AL544" s="8"/>
      <c r="AM544" s="8"/>
      <c r="AN544" s="8">
        <v>1</v>
      </c>
      <c r="AO544" s="8"/>
      <c r="AP544" s="8"/>
      <c r="AQ544" s="8"/>
      <c r="AR544" s="8"/>
      <c r="AS544" s="8"/>
      <c r="AT544" s="8"/>
      <c r="AU544" s="8"/>
      <c r="AV544" s="8"/>
      <c r="AW544" s="8"/>
      <c r="AX544" s="8">
        <v>1</v>
      </c>
      <c r="AY544" s="8">
        <v>1</v>
      </c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>
        <v>1</v>
      </c>
      <c r="BK544" s="8"/>
      <c r="BL544" s="8">
        <v>1</v>
      </c>
      <c r="BM544" s="8"/>
      <c r="BN544" s="8"/>
      <c r="BO544" s="8"/>
      <c r="BP544" s="8">
        <v>2</v>
      </c>
      <c r="BQ544" s="8">
        <v>2</v>
      </c>
      <c r="BR544" s="8"/>
      <c r="BS544" s="8"/>
      <c r="BT544" s="8"/>
      <c r="BU544" s="8"/>
      <c r="BV544" s="8"/>
      <c r="BW544" s="8"/>
      <c r="BX544" s="8"/>
    </row>
    <row r="545" spans="1:76" ht="16.5" customHeight="1" x14ac:dyDescent="0.3">
      <c r="A545" t="s">
        <v>724</v>
      </c>
      <c r="B545" t="s">
        <v>656</v>
      </c>
      <c r="C545" t="s">
        <v>827</v>
      </c>
      <c r="D545" t="s">
        <v>832</v>
      </c>
      <c r="E545" t="s">
        <v>665</v>
      </c>
      <c r="F545" t="s">
        <v>727</v>
      </c>
      <c r="G545" s="5">
        <v>1494869</v>
      </c>
      <c r="H545" s="7" t="s">
        <v>284</v>
      </c>
      <c r="I545" s="5" t="s">
        <v>253</v>
      </c>
      <c r="J545" s="5">
        <v>2</v>
      </c>
      <c r="K545" s="5" t="s">
        <v>102</v>
      </c>
      <c r="L545" s="5" t="s">
        <v>109</v>
      </c>
      <c r="M545" s="5" t="s">
        <v>94</v>
      </c>
      <c r="N545" s="5" t="s">
        <v>285</v>
      </c>
      <c r="O545" s="4"/>
      <c r="P545" s="24">
        <f t="shared" si="129"/>
        <v>14</v>
      </c>
      <c r="Q545" s="8">
        <f t="shared" si="130"/>
        <v>0</v>
      </c>
      <c r="R545" s="8">
        <f t="shared" si="131"/>
        <v>14</v>
      </c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>
        <v>1</v>
      </c>
      <c r="AK545" s="8"/>
      <c r="AL545" s="8"/>
      <c r="AM545" s="8"/>
      <c r="AN545" s="8">
        <v>1</v>
      </c>
      <c r="AO545" s="8"/>
      <c r="AP545" s="8"/>
      <c r="AQ545" s="8"/>
      <c r="AR545" s="8"/>
      <c r="AS545" s="8"/>
      <c r="AT545" s="8"/>
      <c r="AU545" s="8"/>
      <c r="AV545" s="8"/>
      <c r="AW545" s="8">
        <v>1</v>
      </c>
      <c r="AX545" s="8"/>
      <c r="AY545" s="8"/>
      <c r="AZ545" s="8"/>
      <c r="BA545" s="8"/>
      <c r="BB545" s="8"/>
      <c r="BC545" s="8">
        <v>1</v>
      </c>
      <c r="BD545" s="8"/>
      <c r="BE545" s="8"/>
      <c r="BF545" s="8"/>
      <c r="BG545" s="8"/>
      <c r="BH545" s="8">
        <v>1</v>
      </c>
      <c r="BI545" s="8"/>
      <c r="BJ545" s="8">
        <v>2</v>
      </c>
      <c r="BK545" s="8"/>
      <c r="BL545" s="8">
        <v>1</v>
      </c>
      <c r="BM545" s="8"/>
      <c r="BN545" s="8"/>
      <c r="BO545" s="8">
        <v>1</v>
      </c>
      <c r="BP545" s="8"/>
      <c r="BQ545" s="8">
        <v>1</v>
      </c>
      <c r="BR545" s="8"/>
      <c r="BS545" s="8">
        <v>2</v>
      </c>
      <c r="BT545" s="8"/>
      <c r="BU545" s="8">
        <v>1</v>
      </c>
      <c r="BV545" s="8">
        <v>1</v>
      </c>
      <c r="BW545" s="8"/>
      <c r="BX545" s="8"/>
    </row>
    <row r="546" spans="1:76" ht="16.5" customHeight="1" x14ac:dyDescent="0.3">
      <c r="A546" t="s">
        <v>724</v>
      </c>
      <c r="B546" t="s">
        <v>656</v>
      </c>
      <c r="C546" t="s">
        <v>827</v>
      </c>
      <c r="D546" t="s">
        <v>832</v>
      </c>
      <c r="E546" t="s">
        <v>670</v>
      </c>
      <c r="F546" t="s">
        <v>670</v>
      </c>
      <c r="G546" s="5">
        <v>1495094</v>
      </c>
      <c r="H546" s="7" t="s">
        <v>288</v>
      </c>
      <c r="I546" s="5" t="s">
        <v>253</v>
      </c>
      <c r="J546" s="5">
        <v>2</v>
      </c>
      <c r="K546" s="5" t="s">
        <v>102</v>
      </c>
      <c r="L546" s="5" t="s">
        <v>109</v>
      </c>
      <c r="M546" s="5" t="s">
        <v>94</v>
      </c>
      <c r="N546" s="5" t="s">
        <v>285</v>
      </c>
      <c r="O546" s="4"/>
      <c r="P546" s="24">
        <f t="shared" si="129"/>
        <v>21</v>
      </c>
      <c r="Q546" s="8">
        <f t="shared" si="130"/>
        <v>0</v>
      </c>
      <c r="R546" s="8">
        <f t="shared" si="131"/>
        <v>21</v>
      </c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>
        <v>1</v>
      </c>
      <c r="AJ546" s="8"/>
      <c r="AK546" s="8"/>
      <c r="AL546" s="8"/>
      <c r="AM546" s="8"/>
      <c r="AN546" s="8">
        <v>8</v>
      </c>
      <c r="AO546" s="8"/>
      <c r="AP546" s="8"/>
      <c r="AQ546" s="8"/>
      <c r="AR546" s="8"/>
      <c r="AS546" s="8"/>
      <c r="AT546" s="8"/>
      <c r="AU546" s="8"/>
      <c r="AV546" s="8"/>
      <c r="AW546" s="8">
        <v>9</v>
      </c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>
        <v>2</v>
      </c>
      <c r="BI546" s="8"/>
      <c r="BJ546" s="8"/>
      <c r="BK546" s="8"/>
      <c r="BL546" s="8"/>
      <c r="BM546" s="8"/>
      <c r="BN546" s="8"/>
      <c r="BO546" s="8">
        <v>1</v>
      </c>
      <c r="BP546" s="8"/>
      <c r="BQ546" s="8"/>
      <c r="BR546" s="8"/>
      <c r="BS546" s="8"/>
      <c r="BT546" s="8"/>
      <c r="BU546" s="8"/>
      <c r="BV546" s="8"/>
      <c r="BW546" s="8"/>
      <c r="BX546" s="8"/>
    </row>
    <row r="547" spans="1:76" ht="16.5" customHeight="1" x14ac:dyDescent="0.3">
      <c r="A547" t="s">
        <v>724</v>
      </c>
      <c r="B547" t="s">
        <v>656</v>
      </c>
      <c r="C547" t="s">
        <v>827</v>
      </c>
      <c r="D547" t="s">
        <v>832</v>
      </c>
      <c r="E547" t="s">
        <v>731</v>
      </c>
      <c r="F547" t="s">
        <v>731</v>
      </c>
      <c r="G547" s="5">
        <v>1495124</v>
      </c>
      <c r="H547" s="7" t="s">
        <v>289</v>
      </c>
      <c r="I547" s="5" t="s">
        <v>253</v>
      </c>
      <c r="J547" s="5">
        <v>2</v>
      </c>
      <c r="K547" s="5" t="s">
        <v>102</v>
      </c>
      <c r="L547" s="5" t="s">
        <v>109</v>
      </c>
      <c r="M547" s="5" t="s">
        <v>94</v>
      </c>
      <c r="N547" s="5" t="s">
        <v>285</v>
      </c>
      <c r="O547" s="4"/>
      <c r="P547" s="24">
        <f t="shared" si="129"/>
        <v>19</v>
      </c>
      <c r="Q547" s="8">
        <f t="shared" si="130"/>
        <v>0</v>
      </c>
      <c r="R547" s="8">
        <f t="shared" si="131"/>
        <v>19</v>
      </c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>
        <v>1</v>
      </c>
      <c r="AJ547" s="8"/>
      <c r="AK547" s="8"/>
      <c r="AL547" s="8"/>
      <c r="AM547" s="8"/>
      <c r="AN547" s="8">
        <v>7</v>
      </c>
      <c r="AO547" s="8"/>
      <c r="AP547" s="8"/>
      <c r="AQ547" s="8"/>
      <c r="AR547" s="8"/>
      <c r="AS547" s="8"/>
      <c r="AT547" s="8"/>
      <c r="AU547" s="8"/>
      <c r="AV547" s="8"/>
      <c r="AW547" s="8">
        <v>8</v>
      </c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>
        <v>2</v>
      </c>
      <c r="BI547" s="8"/>
      <c r="BJ547" s="8"/>
      <c r="BK547" s="8"/>
      <c r="BL547" s="8"/>
      <c r="BM547" s="8"/>
      <c r="BN547" s="8"/>
      <c r="BO547" s="8">
        <v>1</v>
      </c>
      <c r="BP547" s="8"/>
      <c r="BQ547" s="8"/>
      <c r="BR547" s="8"/>
      <c r="BS547" s="8"/>
      <c r="BT547" s="8"/>
      <c r="BU547" s="8"/>
      <c r="BV547" s="8"/>
      <c r="BW547" s="8"/>
      <c r="BX547" s="8"/>
    </row>
    <row r="548" spans="1:76" ht="16.5" customHeight="1" x14ac:dyDescent="0.3">
      <c r="A548" t="s">
        <v>724</v>
      </c>
      <c r="B548" t="s">
        <v>656</v>
      </c>
      <c r="C548" t="s">
        <v>827</v>
      </c>
      <c r="D548" t="s">
        <v>832</v>
      </c>
      <c r="E548" t="s">
        <v>741</v>
      </c>
      <c r="F548" t="s">
        <v>741</v>
      </c>
      <c r="G548" s="5">
        <v>1495159</v>
      </c>
      <c r="H548" s="7" t="s">
        <v>291</v>
      </c>
      <c r="I548" s="5" t="s">
        <v>253</v>
      </c>
      <c r="J548" s="5">
        <v>2</v>
      </c>
      <c r="K548" s="5" t="s">
        <v>102</v>
      </c>
      <c r="L548" s="5" t="s">
        <v>109</v>
      </c>
      <c r="M548" s="5" t="s">
        <v>94</v>
      </c>
      <c r="N548" s="5" t="s">
        <v>285</v>
      </c>
      <c r="O548" s="4"/>
      <c r="P548" s="24">
        <f t="shared" si="129"/>
        <v>10</v>
      </c>
      <c r="Q548" s="8">
        <f t="shared" si="130"/>
        <v>0</v>
      </c>
      <c r="R548" s="8">
        <f t="shared" si="131"/>
        <v>10</v>
      </c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>
        <v>1</v>
      </c>
      <c r="AJ548" s="8"/>
      <c r="AK548" s="8"/>
      <c r="AL548" s="8"/>
      <c r="AM548" s="8"/>
      <c r="AN548" s="8">
        <v>3</v>
      </c>
      <c r="AO548" s="8"/>
      <c r="AP548" s="8"/>
      <c r="AQ548" s="8"/>
      <c r="AR548" s="8"/>
      <c r="AS548" s="8"/>
      <c r="AT548" s="8"/>
      <c r="AU548" s="8"/>
      <c r="AV548" s="8"/>
      <c r="AW548" s="8">
        <v>5</v>
      </c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>
        <v>1</v>
      </c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</row>
    <row r="549" spans="1:76" ht="16.5" customHeight="1" x14ac:dyDescent="0.3">
      <c r="A549" t="s">
        <v>724</v>
      </c>
      <c r="B549" t="s">
        <v>656</v>
      </c>
      <c r="C549" t="s">
        <v>827</v>
      </c>
      <c r="D549" t="s">
        <v>832</v>
      </c>
      <c r="E549" t="s">
        <v>734</v>
      </c>
      <c r="F549" t="s">
        <v>734</v>
      </c>
      <c r="G549" s="5">
        <v>1495191</v>
      </c>
      <c r="H549" s="7" t="s">
        <v>297</v>
      </c>
      <c r="I549" s="5" t="s">
        <v>253</v>
      </c>
      <c r="J549" s="5">
        <v>2</v>
      </c>
      <c r="K549" s="5" t="s">
        <v>102</v>
      </c>
      <c r="L549" s="5" t="s">
        <v>109</v>
      </c>
      <c r="M549" s="5" t="s">
        <v>94</v>
      </c>
      <c r="N549" s="5" t="s">
        <v>285</v>
      </c>
      <c r="O549" s="4"/>
      <c r="P549" s="24">
        <f t="shared" si="129"/>
        <v>5</v>
      </c>
      <c r="Q549" s="8">
        <f t="shared" si="130"/>
        <v>0</v>
      </c>
      <c r="R549" s="8">
        <f t="shared" si="131"/>
        <v>5</v>
      </c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>
        <v>1</v>
      </c>
      <c r="AL549" s="8"/>
      <c r="AM549" s="8"/>
      <c r="AN549" s="8"/>
      <c r="AO549" s="8"/>
      <c r="AP549" s="8"/>
      <c r="AQ549" s="8">
        <v>2</v>
      </c>
      <c r="AR549" s="8"/>
      <c r="AS549" s="8"/>
      <c r="AT549" s="8"/>
      <c r="AU549" s="8"/>
      <c r="AV549" s="8"/>
      <c r="AW549" s="8"/>
      <c r="AX549" s="8"/>
      <c r="AY549" s="8"/>
      <c r="AZ549" s="8">
        <v>2</v>
      </c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</row>
    <row r="550" spans="1:76" ht="16.5" customHeight="1" x14ac:dyDescent="0.3">
      <c r="A550" t="s">
        <v>724</v>
      </c>
      <c r="B550" t="s">
        <v>656</v>
      </c>
      <c r="C550" t="s">
        <v>827</v>
      </c>
      <c r="D550" t="s">
        <v>832</v>
      </c>
      <c r="E550" t="s">
        <v>735</v>
      </c>
      <c r="F550" t="s">
        <v>735</v>
      </c>
      <c r="G550" s="5">
        <v>1495219</v>
      </c>
      <c r="H550" s="7" t="s">
        <v>292</v>
      </c>
      <c r="I550" s="5" t="s">
        <v>253</v>
      </c>
      <c r="J550" s="5">
        <v>2</v>
      </c>
      <c r="K550" s="5" t="s">
        <v>102</v>
      </c>
      <c r="L550" s="5" t="s">
        <v>109</v>
      </c>
      <c r="M550" s="5" t="s">
        <v>94</v>
      </c>
      <c r="N550" s="5" t="s">
        <v>285</v>
      </c>
      <c r="O550" s="4"/>
      <c r="P550" s="24">
        <f t="shared" si="129"/>
        <v>23</v>
      </c>
      <c r="Q550" s="8">
        <f t="shared" si="130"/>
        <v>0</v>
      </c>
      <c r="R550" s="8">
        <f t="shared" si="131"/>
        <v>23</v>
      </c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>
        <v>1</v>
      </c>
      <c r="AK550" s="8"/>
      <c r="AL550" s="8"/>
      <c r="AM550" s="8"/>
      <c r="AN550" s="8">
        <v>1</v>
      </c>
      <c r="AO550" s="8"/>
      <c r="AP550" s="8"/>
      <c r="AQ550" s="8">
        <v>6</v>
      </c>
      <c r="AR550" s="8"/>
      <c r="AS550" s="8"/>
      <c r="AT550" s="8"/>
      <c r="AU550" s="8">
        <v>2</v>
      </c>
      <c r="AV550" s="8">
        <v>2</v>
      </c>
      <c r="AW550" s="8"/>
      <c r="AX550" s="8"/>
      <c r="AY550" s="8"/>
      <c r="AZ550" s="8">
        <v>7</v>
      </c>
      <c r="BA550" s="8"/>
      <c r="BB550" s="8"/>
      <c r="BC550" s="8"/>
      <c r="BD550" s="8">
        <v>2</v>
      </c>
      <c r="BE550" s="8">
        <v>1</v>
      </c>
      <c r="BF550" s="8"/>
      <c r="BG550" s="8"/>
      <c r="BH550" s="8">
        <v>1</v>
      </c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</row>
    <row r="551" spans="1:76" ht="16.5" customHeight="1" x14ac:dyDescent="0.3">
      <c r="A551" t="s">
        <v>724</v>
      </c>
      <c r="B551" t="s">
        <v>656</v>
      </c>
      <c r="C551" t="s">
        <v>827</v>
      </c>
      <c r="D551" t="s">
        <v>832</v>
      </c>
      <c r="E551" t="s">
        <v>736</v>
      </c>
      <c r="F551" t="s">
        <v>736</v>
      </c>
      <c r="G551" s="5">
        <v>1495243</v>
      </c>
      <c r="H551" s="7" t="s">
        <v>327</v>
      </c>
      <c r="I551" s="5" t="s">
        <v>253</v>
      </c>
      <c r="J551" s="5">
        <v>2</v>
      </c>
      <c r="K551" s="5" t="s">
        <v>102</v>
      </c>
      <c r="L551" s="5" t="s">
        <v>109</v>
      </c>
      <c r="M551" s="5" t="s">
        <v>94</v>
      </c>
      <c r="N551" s="5" t="s">
        <v>285</v>
      </c>
      <c r="O551" s="4"/>
      <c r="P551" s="24">
        <f t="shared" si="129"/>
        <v>8</v>
      </c>
      <c r="Q551" s="8">
        <f t="shared" si="130"/>
        <v>0</v>
      </c>
      <c r="R551" s="8">
        <f t="shared" si="131"/>
        <v>8</v>
      </c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>
        <v>1</v>
      </c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>
        <v>4</v>
      </c>
      <c r="AV551" s="8"/>
      <c r="AW551" s="8"/>
      <c r="AX551" s="8"/>
      <c r="AY551" s="8"/>
      <c r="AZ551" s="8"/>
      <c r="BA551" s="8"/>
      <c r="BB551" s="8"/>
      <c r="BC551" s="8"/>
      <c r="BD551" s="8">
        <v>3</v>
      </c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</row>
    <row r="552" spans="1:76" ht="16.5" customHeight="1" x14ac:dyDescent="0.3">
      <c r="G552" s="14">
        <v>1494401</v>
      </c>
      <c r="H552" s="15" t="s">
        <v>486</v>
      </c>
      <c r="I552" s="14" t="s">
        <v>253</v>
      </c>
      <c r="J552" s="14">
        <v>2</v>
      </c>
      <c r="K552" s="14" t="s">
        <v>254</v>
      </c>
      <c r="L552" s="14" t="s">
        <v>255</v>
      </c>
      <c r="M552" s="14" t="s">
        <v>94</v>
      </c>
      <c r="N552" s="14" t="s">
        <v>110</v>
      </c>
      <c r="O552" s="13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</row>
    <row r="553" spans="1:76" ht="16.5" customHeight="1" x14ac:dyDescent="0.3">
      <c r="A553" t="s">
        <v>724</v>
      </c>
      <c r="B553" t="s">
        <v>656</v>
      </c>
      <c r="C553" t="s">
        <v>827</v>
      </c>
      <c r="D553" t="s">
        <v>835</v>
      </c>
      <c r="E553" t="s">
        <v>835</v>
      </c>
      <c r="F553" t="s">
        <v>835</v>
      </c>
      <c r="G553" s="5">
        <v>1494401</v>
      </c>
      <c r="H553" s="38" t="s">
        <v>487</v>
      </c>
      <c r="I553" s="5" t="s">
        <v>253</v>
      </c>
      <c r="J553" s="5">
        <v>2</v>
      </c>
      <c r="K553" s="5" t="s">
        <v>254</v>
      </c>
      <c r="L553" s="5" t="s">
        <v>255</v>
      </c>
      <c r="M553" s="5" t="s">
        <v>94</v>
      </c>
      <c r="N553" s="5" t="s">
        <v>110</v>
      </c>
      <c r="O553" s="4"/>
      <c r="P553" s="8">
        <f t="shared" ref="P553:P564" si="132">SUM(Q553,R553)</f>
        <v>1</v>
      </c>
      <c r="Q553" s="8">
        <f t="shared" ref="Q553:Q564" si="133">S553</f>
        <v>0</v>
      </c>
      <c r="R553" s="8">
        <f t="shared" ref="R553:R564" si="134">SUM(T553:BX553)</f>
        <v>1</v>
      </c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>
        <v>1</v>
      </c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</row>
    <row r="554" spans="1:76" ht="16.5" customHeight="1" x14ac:dyDescent="0.3">
      <c r="A554" t="s">
        <v>724</v>
      </c>
      <c r="B554" t="s">
        <v>656</v>
      </c>
      <c r="C554" t="s">
        <v>827</v>
      </c>
      <c r="D554" t="s">
        <v>835</v>
      </c>
      <c r="E554" t="s">
        <v>836</v>
      </c>
      <c r="F554" t="s">
        <v>836</v>
      </c>
      <c r="G554" s="5">
        <v>1494402</v>
      </c>
      <c r="H554" s="7" t="s">
        <v>488</v>
      </c>
      <c r="I554" s="5" t="s">
        <v>253</v>
      </c>
      <c r="J554" s="5">
        <v>2</v>
      </c>
      <c r="K554" s="5" t="s">
        <v>102</v>
      </c>
      <c r="L554" s="5" t="s">
        <v>109</v>
      </c>
      <c r="M554" s="5" t="s">
        <v>94</v>
      </c>
      <c r="N554" s="5" t="s">
        <v>283</v>
      </c>
      <c r="O554" s="4"/>
      <c r="P554" s="8">
        <f t="shared" si="132"/>
        <v>43</v>
      </c>
      <c r="Q554" s="8">
        <f t="shared" si="133"/>
        <v>0</v>
      </c>
      <c r="R554" s="8">
        <f t="shared" si="134"/>
        <v>43</v>
      </c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>
        <v>1</v>
      </c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>
        <v>4</v>
      </c>
      <c r="AQ554" s="8"/>
      <c r="AR554" s="8"/>
      <c r="AS554" s="8"/>
      <c r="AT554" s="8"/>
      <c r="AU554" s="8"/>
      <c r="AV554" s="8"/>
      <c r="AW554" s="8">
        <v>1</v>
      </c>
      <c r="AX554" s="8"/>
      <c r="AY554" s="8">
        <v>7</v>
      </c>
      <c r="AZ554" s="8">
        <v>1</v>
      </c>
      <c r="BA554" s="8"/>
      <c r="BB554" s="8"/>
      <c r="BC554" s="8"/>
      <c r="BD554" s="8"/>
      <c r="BE554" s="8"/>
      <c r="BF554" s="8"/>
      <c r="BG554" s="8"/>
      <c r="BH554" s="8">
        <v>2</v>
      </c>
      <c r="BI554" s="8"/>
      <c r="BJ554" s="8">
        <v>11</v>
      </c>
      <c r="BK554" s="8"/>
      <c r="BL554" s="8">
        <v>1</v>
      </c>
      <c r="BM554" s="8"/>
      <c r="BN554" s="8"/>
      <c r="BO554" s="8">
        <v>1</v>
      </c>
      <c r="BP554" s="8"/>
      <c r="BQ554" s="8">
        <v>8</v>
      </c>
      <c r="BR554" s="8"/>
      <c r="BS554" s="8">
        <v>6</v>
      </c>
      <c r="BT554" s="8"/>
      <c r="BU554" s="8"/>
      <c r="BV554" s="8"/>
      <c r="BW554" s="8"/>
      <c r="BX554" s="8"/>
    </row>
    <row r="555" spans="1:76" ht="16.5" customHeight="1" x14ac:dyDescent="0.3">
      <c r="A555" t="s">
        <v>724</v>
      </c>
      <c r="B555" t="s">
        <v>656</v>
      </c>
      <c r="C555" t="s">
        <v>827</v>
      </c>
      <c r="D555" t="s">
        <v>835</v>
      </c>
      <c r="E555" t="s">
        <v>837</v>
      </c>
      <c r="F555" t="s">
        <v>837</v>
      </c>
      <c r="G555" s="5">
        <v>1494929</v>
      </c>
      <c r="H555" s="7" t="s">
        <v>489</v>
      </c>
      <c r="I555" s="5" t="s">
        <v>253</v>
      </c>
      <c r="J555" s="5">
        <v>2</v>
      </c>
      <c r="K555" s="5" t="s">
        <v>102</v>
      </c>
      <c r="L555" s="5" t="s">
        <v>109</v>
      </c>
      <c r="M555" s="5" t="s">
        <v>94</v>
      </c>
      <c r="N555" s="5" t="s">
        <v>283</v>
      </c>
      <c r="O555" s="4"/>
      <c r="P555" s="8">
        <f t="shared" si="132"/>
        <v>9</v>
      </c>
      <c r="Q555" s="8">
        <f t="shared" si="133"/>
        <v>0</v>
      </c>
      <c r="R555" s="8">
        <f t="shared" si="134"/>
        <v>9</v>
      </c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>
        <v>1</v>
      </c>
      <c r="AK555" s="8"/>
      <c r="AL555" s="8"/>
      <c r="AM555" s="8"/>
      <c r="AN555" s="8"/>
      <c r="AO555" s="8"/>
      <c r="AP555" s="8">
        <v>1</v>
      </c>
      <c r="AQ555" s="8"/>
      <c r="AR555" s="8"/>
      <c r="AS555" s="8"/>
      <c r="AT555" s="8"/>
      <c r="AU555" s="8"/>
      <c r="AV555" s="8"/>
      <c r="AW555" s="8"/>
      <c r="AX555" s="8"/>
      <c r="AY555" s="8">
        <v>2</v>
      </c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>
        <v>1</v>
      </c>
      <c r="BK555" s="8"/>
      <c r="BL555" s="8">
        <v>1</v>
      </c>
      <c r="BM555" s="8"/>
      <c r="BN555" s="8"/>
      <c r="BO555" s="8"/>
      <c r="BP555" s="8"/>
      <c r="BQ555" s="8">
        <v>3</v>
      </c>
      <c r="BR555" s="8"/>
      <c r="BS555" s="8"/>
      <c r="BT555" s="8"/>
      <c r="BU555" s="8"/>
      <c r="BV555" s="8"/>
      <c r="BW555" s="8"/>
      <c r="BX555" s="8"/>
    </row>
    <row r="556" spans="1:76" ht="16.5" customHeight="1" x14ac:dyDescent="0.3">
      <c r="A556" t="s">
        <v>724</v>
      </c>
      <c r="B556" t="s">
        <v>656</v>
      </c>
      <c r="C556" t="s">
        <v>827</v>
      </c>
      <c r="D556" t="s">
        <v>835</v>
      </c>
      <c r="E556" t="s">
        <v>665</v>
      </c>
      <c r="F556" t="s">
        <v>727</v>
      </c>
      <c r="G556" s="5">
        <v>1494873</v>
      </c>
      <c r="H556" s="7" t="s">
        <v>284</v>
      </c>
      <c r="I556" s="5" t="s">
        <v>253</v>
      </c>
      <c r="J556" s="5">
        <v>2</v>
      </c>
      <c r="K556" s="5" t="s">
        <v>102</v>
      </c>
      <c r="L556" s="5" t="s">
        <v>109</v>
      </c>
      <c r="M556" s="5" t="s">
        <v>94</v>
      </c>
      <c r="N556" s="5" t="s">
        <v>285</v>
      </c>
      <c r="O556" s="4"/>
      <c r="P556" s="8">
        <f t="shared" si="132"/>
        <v>12.5</v>
      </c>
      <c r="Q556" s="8">
        <f t="shared" si="133"/>
        <v>0</v>
      </c>
      <c r="R556" s="8">
        <f t="shared" si="134"/>
        <v>12.5</v>
      </c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>
        <v>1</v>
      </c>
      <c r="AK556" s="8"/>
      <c r="AL556" s="8"/>
      <c r="AM556" s="8"/>
      <c r="AN556" s="8">
        <v>1</v>
      </c>
      <c r="AO556" s="8"/>
      <c r="AP556" s="8"/>
      <c r="AQ556" s="8"/>
      <c r="AR556" s="8"/>
      <c r="AS556" s="8"/>
      <c r="AT556" s="8"/>
      <c r="AU556" s="8"/>
      <c r="AV556" s="8"/>
      <c r="AW556" s="8">
        <v>1</v>
      </c>
      <c r="AX556" s="8"/>
      <c r="AY556" s="8">
        <v>3</v>
      </c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>
        <v>1.5</v>
      </c>
      <c r="BK556" s="8"/>
      <c r="BL556" s="8">
        <v>1</v>
      </c>
      <c r="BM556" s="8"/>
      <c r="BN556" s="8"/>
      <c r="BO556" s="8"/>
      <c r="BP556" s="8"/>
      <c r="BQ556" s="8">
        <v>3</v>
      </c>
      <c r="BR556" s="8"/>
      <c r="BS556" s="8">
        <v>1</v>
      </c>
      <c r="BT556" s="8"/>
      <c r="BU556" s="8"/>
      <c r="BV556" s="8"/>
      <c r="BW556" s="8"/>
      <c r="BX556" s="8"/>
    </row>
    <row r="557" spans="1:76" ht="16.5" customHeight="1" x14ac:dyDescent="0.3">
      <c r="A557" t="s">
        <v>724</v>
      </c>
      <c r="B557" t="s">
        <v>656</v>
      </c>
      <c r="C557" t="s">
        <v>827</v>
      </c>
      <c r="D557" t="s">
        <v>835</v>
      </c>
      <c r="E557" t="s">
        <v>728</v>
      </c>
      <c r="F557" t="s">
        <v>728</v>
      </c>
      <c r="G557" s="5">
        <v>1494874</v>
      </c>
      <c r="H557" s="7" t="s">
        <v>286</v>
      </c>
      <c r="I557" s="5" t="s">
        <v>253</v>
      </c>
      <c r="J557" s="5">
        <v>2</v>
      </c>
      <c r="K557" s="5" t="s">
        <v>102</v>
      </c>
      <c r="L557" s="5" t="s">
        <v>109</v>
      </c>
      <c r="M557" s="5" t="s">
        <v>94</v>
      </c>
      <c r="N557" s="5" t="s">
        <v>285</v>
      </c>
      <c r="O557" s="4"/>
      <c r="P557" s="8">
        <f t="shared" si="132"/>
        <v>13</v>
      </c>
      <c r="Q557" s="8">
        <f t="shared" si="133"/>
        <v>0</v>
      </c>
      <c r="R557" s="8">
        <f t="shared" si="134"/>
        <v>13</v>
      </c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>
        <v>1</v>
      </c>
      <c r="AK557" s="8"/>
      <c r="AL557" s="8"/>
      <c r="AM557" s="8"/>
      <c r="AN557" s="8">
        <v>1</v>
      </c>
      <c r="AO557" s="8"/>
      <c r="AP557" s="8"/>
      <c r="AQ557" s="8"/>
      <c r="AR557" s="8"/>
      <c r="AS557" s="8"/>
      <c r="AT557" s="8"/>
      <c r="AU557" s="8"/>
      <c r="AV557" s="8"/>
      <c r="AW557" s="8">
        <v>1</v>
      </c>
      <c r="AX557" s="8"/>
      <c r="AY557" s="8"/>
      <c r="AZ557" s="8"/>
      <c r="BA557" s="8"/>
      <c r="BB557" s="8"/>
      <c r="BC557" s="8">
        <v>1</v>
      </c>
      <c r="BD557" s="8"/>
      <c r="BE557" s="8"/>
      <c r="BF557" s="8"/>
      <c r="BG557" s="8"/>
      <c r="BH557" s="8">
        <v>1</v>
      </c>
      <c r="BI557" s="8"/>
      <c r="BJ557" s="8">
        <v>2</v>
      </c>
      <c r="BK557" s="8"/>
      <c r="BL557" s="8">
        <v>1</v>
      </c>
      <c r="BM557" s="8"/>
      <c r="BN557" s="8"/>
      <c r="BO557" s="8"/>
      <c r="BP557" s="8"/>
      <c r="BQ557" s="8">
        <v>2</v>
      </c>
      <c r="BR557" s="8"/>
      <c r="BS557" s="8">
        <v>1</v>
      </c>
      <c r="BT557" s="8"/>
      <c r="BU557" s="8">
        <v>1</v>
      </c>
      <c r="BV557" s="8">
        <v>1</v>
      </c>
      <c r="BW557" s="8"/>
      <c r="BX557" s="8"/>
    </row>
    <row r="558" spans="1:76" ht="16.5" customHeight="1" x14ac:dyDescent="0.3">
      <c r="A558" t="s">
        <v>724</v>
      </c>
      <c r="B558" t="s">
        <v>656</v>
      </c>
      <c r="C558" t="s">
        <v>827</v>
      </c>
      <c r="D558" t="s">
        <v>835</v>
      </c>
      <c r="E558" t="s">
        <v>771</v>
      </c>
      <c r="F558" t="s">
        <v>771</v>
      </c>
      <c r="G558" s="5">
        <v>1492899</v>
      </c>
      <c r="H558" s="7" t="s">
        <v>287</v>
      </c>
      <c r="I558" s="5" t="s">
        <v>253</v>
      </c>
      <c r="J558" s="5">
        <v>2</v>
      </c>
      <c r="K558" s="5" t="s">
        <v>102</v>
      </c>
      <c r="L558" s="5" t="s">
        <v>109</v>
      </c>
      <c r="M558" s="5" t="s">
        <v>94</v>
      </c>
      <c r="N558" s="5" t="s">
        <v>285</v>
      </c>
      <c r="O558" s="4"/>
      <c r="P558" s="8">
        <f t="shared" si="132"/>
        <v>9</v>
      </c>
      <c r="Q558" s="8">
        <f t="shared" si="133"/>
        <v>0</v>
      </c>
      <c r="R558" s="8">
        <f t="shared" si="134"/>
        <v>9</v>
      </c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>
        <v>1</v>
      </c>
      <c r="AJ558" s="8"/>
      <c r="AK558" s="8"/>
      <c r="AL558" s="8"/>
      <c r="AM558" s="8"/>
      <c r="AN558" s="8">
        <v>3</v>
      </c>
      <c r="AO558" s="8"/>
      <c r="AP558" s="8"/>
      <c r="AQ558" s="8"/>
      <c r="AR558" s="8"/>
      <c r="AS558" s="8"/>
      <c r="AT558" s="8"/>
      <c r="AU558" s="8"/>
      <c r="AV558" s="8"/>
      <c r="AW558" s="8">
        <v>4</v>
      </c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>
        <v>1</v>
      </c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</row>
    <row r="559" spans="1:76" ht="16.5" customHeight="1" x14ac:dyDescent="0.3">
      <c r="A559" t="s">
        <v>724</v>
      </c>
      <c r="B559" t="s">
        <v>656</v>
      </c>
      <c r="C559" t="s">
        <v>827</v>
      </c>
      <c r="D559" t="s">
        <v>835</v>
      </c>
      <c r="E559" t="s">
        <v>670</v>
      </c>
      <c r="F559" t="s">
        <v>670</v>
      </c>
      <c r="G559" s="5">
        <v>1495158</v>
      </c>
      <c r="H559" s="7" t="s">
        <v>288</v>
      </c>
      <c r="I559" s="5" t="s">
        <v>253</v>
      </c>
      <c r="J559" s="5">
        <v>2</v>
      </c>
      <c r="K559" s="5" t="s">
        <v>102</v>
      </c>
      <c r="L559" s="5" t="s">
        <v>109</v>
      </c>
      <c r="M559" s="5" t="s">
        <v>94</v>
      </c>
      <c r="N559" s="5" t="s">
        <v>285</v>
      </c>
      <c r="O559" s="4"/>
      <c r="P559" s="8">
        <f t="shared" si="132"/>
        <v>28</v>
      </c>
      <c r="Q559" s="8">
        <f t="shared" si="133"/>
        <v>0</v>
      </c>
      <c r="R559" s="8">
        <f t="shared" si="134"/>
        <v>28</v>
      </c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>
        <v>1</v>
      </c>
      <c r="AJ559" s="8"/>
      <c r="AK559" s="8"/>
      <c r="AL559" s="8"/>
      <c r="AM559" s="8"/>
      <c r="AN559" s="8">
        <v>11</v>
      </c>
      <c r="AO559" s="8"/>
      <c r="AP559" s="8"/>
      <c r="AQ559" s="8"/>
      <c r="AR559" s="8"/>
      <c r="AS559" s="8"/>
      <c r="AT559" s="8"/>
      <c r="AU559" s="8"/>
      <c r="AV559" s="8"/>
      <c r="AW559" s="8">
        <v>12</v>
      </c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>
        <v>3</v>
      </c>
      <c r="BI559" s="8"/>
      <c r="BJ559" s="8"/>
      <c r="BK559" s="8"/>
      <c r="BL559" s="8"/>
      <c r="BM559" s="8"/>
      <c r="BN559" s="8"/>
      <c r="BO559" s="8">
        <v>1</v>
      </c>
      <c r="BP559" s="8"/>
      <c r="BQ559" s="8"/>
      <c r="BR559" s="8"/>
      <c r="BS559" s="8"/>
      <c r="BT559" s="8"/>
      <c r="BU559" s="8"/>
      <c r="BV559" s="8"/>
      <c r="BW559" s="8"/>
      <c r="BX559" s="8"/>
    </row>
    <row r="560" spans="1:76" ht="16.5" customHeight="1" x14ac:dyDescent="0.3">
      <c r="A560" t="s">
        <v>724</v>
      </c>
      <c r="B560" t="s">
        <v>656</v>
      </c>
      <c r="C560" t="s">
        <v>827</v>
      </c>
      <c r="D560" t="s">
        <v>835</v>
      </c>
      <c r="E560" t="s">
        <v>731</v>
      </c>
      <c r="F560" t="s">
        <v>731</v>
      </c>
      <c r="G560" s="5">
        <v>1495190</v>
      </c>
      <c r="H560" s="7" t="s">
        <v>289</v>
      </c>
      <c r="I560" s="5" t="s">
        <v>253</v>
      </c>
      <c r="J560" s="5">
        <v>2</v>
      </c>
      <c r="K560" s="5" t="s">
        <v>102</v>
      </c>
      <c r="L560" s="5" t="s">
        <v>109</v>
      </c>
      <c r="M560" s="5" t="s">
        <v>94</v>
      </c>
      <c r="N560" s="5" t="s">
        <v>285</v>
      </c>
      <c r="O560" s="4"/>
      <c r="P560" s="8">
        <f t="shared" si="132"/>
        <v>27</v>
      </c>
      <c r="Q560" s="8">
        <f t="shared" si="133"/>
        <v>0</v>
      </c>
      <c r="R560" s="8">
        <f t="shared" si="134"/>
        <v>27</v>
      </c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>
        <v>1</v>
      </c>
      <c r="AJ560" s="8"/>
      <c r="AK560" s="8"/>
      <c r="AL560" s="8"/>
      <c r="AM560" s="8"/>
      <c r="AN560" s="8">
        <v>9</v>
      </c>
      <c r="AO560" s="8"/>
      <c r="AP560" s="8"/>
      <c r="AQ560" s="8"/>
      <c r="AR560" s="8"/>
      <c r="AS560" s="8"/>
      <c r="AT560" s="8"/>
      <c r="AU560" s="8"/>
      <c r="AV560" s="8"/>
      <c r="AW560" s="8">
        <v>12</v>
      </c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>
        <v>4</v>
      </c>
      <c r="BI560" s="8"/>
      <c r="BJ560" s="8"/>
      <c r="BK560" s="8"/>
      <c r="BL560" s="8"/>
      <c r="BM560" s="8"/>
      <c r="BN560" s="8"/>
      <c r="BO560" s="8">
        <v>1</v>
      </c>
      <c r="BP560" s="8"/>
      <c r="BQ560" s="8"/>
      <c r="BR560" s="8"/>
      <c r="BS560" s="8"/>
      <c r="BT560" s="8"/>
      <c r="BU560" s="8"/>
      <c r="BV560" s="8"/>
      <c r="BW560" s="8"/>
      <c r="BX560" s="8"/>
    </row>
    <row r="561" spans="1:76" ht="16.5" customHeight="1" x14ac:dyDescent="0.3">
      <c r="A561" t="s">
        <v>724</v>
      </c>
      <c r="B561" t="s">
        <v>656</v>
      </c>
      <c r="C561" t="s">
        <v>827</v>
      </c>
      <c r="D561" t="s">
        <v>835</v>
      </c>
      <c r="E561" t="s">
        <v>741</v>
      </c>
      <c r="F561" t="s">
        <v>741</v>
      </c>
      <c r="G561" s="5">
        <v>1495218</v>
      </c>
      <c r="H561" s="7" t="s">
        <v>291</v>
      </c>
      <c r="I561" s="5" t="s">
        <v>253</v>
      </c>
      <c r="J561" s="5">
        <v>2</v>
      </c>
      <c r="K561" s="5" t="s">
        <v>102</v>
      </c>
      <c r="L561" s="5" t="s">
        <v>109</v>
      </c>
      <c r="M561" s="5" t="s">
        <v>94</v>
      </c>
      <c r="N561" s="5" t="s">
        <v>285</v>
      </c>
      <c r="O561" s="4"/>
      <c r="P561" s="8">
        <f t="shared" si="132"/>
        <v>10</v>
      </c>
      <c r="Q561" s="8">
        <f t="shared" si="133"/>
        <v>0</v>
      </c>
      <c r="R561" s="8">
        <f t="shared" si="134"/>
        <v>10</v>
      </c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>
        <v>1</v>
      </c>
      <c r="AJ561" s="8"/>
      <c r="AK561" s="8"/>
      <c r="AL561" s="8"/>
      <c r="AM561" s="8"/>
      <c r="AN561" s="8">
        <v>4</v>
      </c>
      <c r="AO561" s="8"/>
      <c r="AP561" s="8"/>
      <c r="AQ561" s="8"/>
      <c r="AR561" s="8"/>
      <c r="AS561" s="8"/>
      <c r="AT561" s="8"/>
      <c r="AU561" s="8"/>
      <c r="AV561" s="8"/>
      <c r="AW561" s="8">
        <v>4</v>
      </c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>
        <v>1</v>
      </c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</row>
    <row r="562" spans="1:76" ht="16.5" customHeight="1" x14ac:dyDescent="0.3">
      <c r="A562" t="s">
        <v>724</v>
      </c>
      <c r="B562" t="s">
        <v>656</v>
      </c>
      <c r="C562" t="s">
        <v>827</v>
      </c>
      <c r="D562" t="s">
        <v>835</v>
      </c>
      <c r="E562" t="s">
        <v>734</v>
      </c>
      <c r="F562" t="s">
        <v>734</v>
      </c>
      <c r="G562" s="5">
        <v>1495242</v>
      </c>
      <c r="H562" s="7" t="s">
        <v>297</v>
      </c>
      <c r="I562" s="5" t="s">
        <v>253</v>
      </c>
      <c r="J562" s="5">
        <v>2</v>
      </c>
      <c r="K562" s="5" t="s">
        <v>102</v>
      </c>
      <c r="L562" s="5" t="s">
        <v>109</v>
      </c>
      <c r="M562" s="5" t="s">
        <v>94</v>
      </c>
      <c r="N562" s="5" t="s">
        <v>285</v>
      </c>
      <c r="O562" s="4"/>
      <c r="P562" s="8">
        <f t="shared" si="132"/>
        <v>11</v>
      </c>
      <c r="Q562" s="8">
        <f t="shared" si="133"/>
        <v>0</v>
      </c>
      <c r="R562" s="8">
        <f t="shared" si="134"/>
        <v>11</v>
      </c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>
        <v>1</v>
      </c>
      <c r="AK562" s="8"/>
      <c r="AL562" s="8"/>
      <c r="AM562" s="8"/>
      <c r="AN562" s="8"/>
      <c r="AO562" s="8"/>
      <c r="AP562" s="8"/>
      <c r="AQ562" s="8">
        <v>3</v>
      </c>
      <c r="AR562" s="8"/>
      <c r="AS562" s="8"/>
      <c r="AT562" s="8"/>
      <c r="AU562" s="8">
        <v>1</v>
      </c>
      <c r="AV562" s="8"/>
      <c r="AW562" s="8"/>
      <c r="AX562" s="8"/>
      <c r="AY562" s="8"/>
      <c r="AZ562" s="8">
        <v>4</v>
      </c>
      <c r="BA562" s="8"/>
      <c r="BB562" s="8"/>
      <c r="BC562" s="8"/>
      <c r="BD562" s="8">
        <v>2</v>
      </c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</row>
    <row r="563" spans="1:76" ht="16.5" customHeight="1" x14ac:dyDescent="0.3">
      <c r="A563" t="s">
        <v>724</v>
      </c>
      <c r="B563" t="s">
        <v>656</v>
      </c>
      <c r="C563" t="s">
        <v>827</v>
      </c>
      <c r="D563" t="s">
        <v>835</v>
      </c>
      <c r="E563" t="s">
        <v>735</v>
      </c>
      <c r="F563" t="s">
        <v>735</v>
      </c>
      <c r="G563" s="5">
        <v>1495262</v>
      </c>
      <c r="H563" s="7" t="s">
        <v>292</v>
      </c>
      <c r="I563" s="5" t="s">
        <v>253</v>
      </c>
      <c r="J563" s="5">
        <v>2</v>
      </c>
      <c r="K563" s="5" t="s">
        <v>102</v>
      </c>
      <c r="L563" s="5" t="s">
        <v>109</v>
      </c>
      <c r="M563" s="5" t="s">
        <v>94</v>
      </c>
      <c r="N563" s="5" t="s">
        <v>285</v>
      </c>
      <c r="O563" s="4"/>
      <c r="P563" s="8">
        <f t="shared" si="132"/>
        <v>15</v>
      </c>
      <c r="Q563" s="8">
        <f t="shared" si="133"/>
        <v>0</v>
      </c>
      <c r="R563" s="8">
        <f t="shared" si="134"/>
        <v>15</v>
      </c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>
        <v>1</v>
      </c>
      <c r="AL563" s="8"/>
      <c r="AM563" s="8"/>
      <c r="AN563" s="8"/>
      <c r="AO563" s="8"/>
      <c r="AP563" s="8"/>
      <c r="AQ563" s="8">
        <v>4</v>
      </c>
      <c r="AR563" s="8"/>
      <c r="AS563" s="8"/>
      <c r="AT563" s="8"/>
      <c r="AU563" s="8">
        <v>1</v>
      </c>
      <c r="AV563" s="8"/>
      <c r="AW563" s="8"/>
      <c r="AX563" s="8"/>
      <c r="AY563" s="8"/>
      <c r="AZ563" s="8">
        <v>4</v>
      </c>
      <c r="BA563" s="8"/>
      <c r="BB563" s="8"/>
      <c r="BC563" s="8"/>
      <c r="BD563" s="8">
        <v>2</v>
      </c>
      <c r="BE563" s="8">
        <v>1</v>
      </c>
      <c r="BF563" s="8"/>
      <c r="BG563" s="8"/>
      <c r="BH563" s="8">
        <v>2</v>
      </c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</row>
    <row r="564" spans="1:76" ht="16.5" customHeight="1" x14ac:dyDescent="0.3">
      <c r="A564" t="s">
        <v>724</v>
      </c>
      <c r="B564" t="s">
        <v>656</v>
      </c>
      <c r="C564" t="s">
        <v>827</v>
      </c>
      <c r="D564" t="s">
        <v>835</v>
      </c>
      <c r="E564" t="s">
        <v>736</v>
      </c>
      <c r="F564" t="s">
        <v>736</v>
      </c>
      <c r="G564" s="5">
        <v>1495272</v>
      </c>
      <c r="H564" s="7" t="s">
        <v>327</v>
      </c>
      <c r="I564" s="5" t="s">
        <v>253</v>
      </c>
      <c r="J564" s="5">
        <v>2</v>
      </c>
      <c r="K564" s="5" t="s">
        <v>102</v>
      </c>
      <c r="L564" s="5" t="s">
        <v>109</v>
      </c>
      <c r="M564" s="5" t="s">
        <v>94</v>
      </c>
      <c r="N564" s="5" t="s">
        <v>285</v>
      </c>
      <c r="O564" s="4"/>
      <c r="P564" s="8">
        <f t="shared" si="132"/>
        <v>14</v>
      </c>
      <c r="Q564" s="8">
        <f t="shared" si="133"/>
        <v>0</v>
      </c>
      <c r="R564" s="8">
        <f t="shared" si="134"/>
        <v>14</v>
      </c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>
        <v>1</v>
      </c>
      <c r="AN564" s="8"/>
      <c r="AO564" s="8"/>
      <c r="AP564" s="8"/>
      <c r="AQ564" s="8">
        <v>1</v>
      </c>
      <c r="AR564" s="8"/>
      <c r="AS564" s="8"/>
      <c r="AT564" s="8"/>
      <c r="AU564" s="8">
        <v>2</v>
      </c>
      <c r="AV564" s="8"/>
      <c r="AW564" s="8"/>
      <c r="AX564" s="8"/>
      <c r="AY564" s="8"/>
      <c r="AZ564" s="8">
        <v>6</v>
      </c>
      <c r="BA564" s="8"/>
      <c r="BB564" s="8"/>
      <c r="BC564" s="8"/>
      <c r="BD564" s="8">
        <v>3</v>
      </c>
      <c r="BE564" s="8">
        <v>1</v>
      </c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</row>
    <row r="565" spans="1:76" ht="16.5" customHeight="1" x14ac:dyDescent="0.3">
      <c r="G565" s="14">
        <v>1494409</v>
      </c>
      <c r="H565" s="15" t="s">
        <v>490</v>
      </c>
      <c r="I565" s="14" t="s">
        <v>253</v>
      </c>
      <c r="J565" s="14">
        <v>2</v>
      </c>
      <c r="K565" s="14" t="s">
        <v>254</v>
      </c>
      <c r="L565" s="14" t="s">
        <v>255</v>
      </c>
      <c r="M565" s="14" t="s">
        <v>94</v>
      </c>
      <c r="N565" s="14" t="s">
        <v>110</v>
      </c>
      <c r="O565" s="13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</row>
    <row r="566" spans="1:76" ht="16.5" customHeight="1" x14ac:dyDescent="0.3">
      <c r="A566" t="s">
        <v>724</v>
      </c>
      <c r="B566" t="s">
        <v>656</v>
      </c>
      <c r="C566" t="s">
        <v>827</v>
      </c>
      <c r="D566" t="s">
        <v>838</v>
      </c>
      <c r="E566" t="s">
        <v>838</v>
      </c>
      <c r="F566" t="s">
        <v>838</v>
      </c>
      <c r="G566" s="5">
        <v>1494409</v>
      </c>
      <c r="H566" s="38" t="s">
        <v>491</v>
      </c>
      <c r="I566" s="5" t="s">
        <v>253</v>
      </c>
      <c r="J566" s="5">
        <v>2</v>
      </c>
      <c r="K566" s="5" t="s">
        <v>254</v>
      </c>
      <c r="L566" s="5" t="s">
        <v>255</v>
      </c>
      <c r="M566" s="5" t="s">
        <v>94</v>
      </c>
      <c r="N566" s="5" t="s">
        <v>110</v>
      </c>
      <c r="O566" s="4"/>
      <c r="P566" s="24">
        <f t="shared" ref="P566:P574" si="135">SUM(Q566,R566)</f>
        <v>1</v>
      </c>
      <c r="Q566" s="8">
        <f t="shared" ref="Q566:Q574" si="136">S566</f>
        <v>0</v>
      </c>
      <c r="R566" s="8">
        <f t="shared" ref="R566:R574" si="137">SUM(T566:BX566)</f>
        <v>1</v>
      </c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>
        <v>1</v>
      </c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</row>
    <row r="567" spans="1:76" ht="16.5" customHeight="1" x14ac:dyDescent="0.3">
      <c r="A567" t="s">
        <v>724</v>
      </c>
      <c r="B567" t="s">
        <v>656</v>
      </c>
      <c r="C567" t="s">
        <v>827</v>
      </c>
      <c r="D567" t="s">
        <v>838</v>
      </c>
      <c r="E567" t="s">
        <v>839</v>
      </c>
      <c r="F567" t="s">
        <v>839</v>
      </c>
      <c r="G567" s="5">
        <v>1494410</v>
      </c>
      <c r="H567" s="7" t="s">
        <v>492</v>
      </c>
      <c r="I567" s="5" t="s">
        <v>253</v>
      </c>
      <c r="J567" s="5">
        <v>2</v>
      </c>
      <c r="K567" s="5" t="s">
        <v>102</v>
      </c>
      <c r="L567" s="5" t="s">
        <v>109</v>
      </c>
      <c r="M567" s="5" t="s">
        <v>94</v>
      </c>
      <c r="N567" s="5" t="s">
        <v>283</v>
      </c>
      <c r="O567" s="4"/>
      <c r="P567" s="24">
        <f t="shared" si="135"/>
        <v>15</v>
      </c>
      <c r="Q567" s="8">
        <f t="shared" si="136"/>
        <v>0</v>
      </c>
      <c r="R567" s="8">
        <f t="shared" si="137"/>
        <v>15</v>
      </c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>
        <v>1</v>
      </c>
      <c r="AK567" s="8"/>
      <c r="AL567" s="8"/>
      <c r="AM567" s="8"/>
      <c r="AN567" s="8"/>
      <c r="AO567" s="8"/>
      <c r="AP567" s="8">
        <v>2</v>
      </c>
      <c r="AQ567" s="8"/>
      <c r="AR567" s="8"/>
      <c r="AS567" s="8"/>
      <c r="AT567" s="8"/>
      <c r="AU567" s="8"/>
      <c r="AV567" s="8"/>
      <c r="AW567" s="8">
        <v>1</v>
      </c>
      <c r="AX567" s="8"/>
      <c r="AY567" s="8">
        <v>2</v>
      </c>
      <c r="AZ567" s="8"/>
      <c r="BA567" s="8"/>
      <c r="BB567" s="8"/>
      <c r="BC567" s="8"/>
      <c r="BD567" s="8"/>
      <c r="BE567" s="8"/>
      <c r="BF567" s="8"/>
      <c r="BG567" s="8"/>
      <c r="BH567" s="8">
        <v>1</v>
      </c>
      <c r="BI567" s="8"/>
      <c r="BJ567" s="8">
        <v>2</v>
      </c>
      <c r="BK567" s="8"/>
      <c r="BL567" s="8">
        <v>1</v>
      </c>
      <c r="BM567" s="8"/>
      <c r="BN567" s="8"/>
      <c r="BO567" s="8"/>
      <c r="BP567" s="8"/>
      <c r="BQ567" s="8">
        <v>3</v>
      </c>
      <c r="BR567" s="8"/>
      <c r="BS567" s="8">
        <v>2</v>
      </c>
      <c r="BT567" s="8"/>
      <c r="BU567" s="8"/>
      <c r="BV567" s="8"/>
      <c r="BW567" s="8"/>
      <c r="BX567" s="8"/>
    </row>
    <row r="568" spans="1:76" ht="16.5" customHeight="1" x14ac:dyDescent="0.3">
      <c r="A568" t="s">
        <v>724</v>
      </c>
      <c r="B568" t="s">
        <v>656</v>
      </c>
      <c r="C568" t="s">
        <v>827</v>
      </c>
      <c r="D568" t="s">
        <v>838</v>
      </c>
      <c r="E568" t="s">
        <v>840</v>
      </c>
      <c r="F568" t="s">
        <v>840</v>
      </c>
      <c r="G568" s="5">
        <v>1494411</v>
      </c>
      <c r="H568" s="7" t="s">
        <v>493</v>
      </c>
      <c r="I568" s="5" t="s">
        <v>253</v>
      </c>
      <c r="J568" s="5">
        <v>2</v>
      </c>
      <c r="K568" s="5" t="s">
        <v>102</v>
      </c>
      <c r="L568" s="5" t="s">
        <v>109</v>
      </c>
      <c r="M568" s="5" t="s">
        <v>94</v>
      </c>
      <c r="N568" s="5" t="s">
        <v>283</v>
      </c>
      <c r="O568" s="4"/>
      <c r="P568" s="24">
        <f t="shared" si="135"/>
        <v>12</v>
      </c>
      <c r="Q568" s="8">
        <f t="shared" si="136"/>
        <v>0</v>
      </c>
      <c r="R568" s="8">
        <f t="shared" si="137"/>
        <v>12</v>
      </c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>
        <v>1</v>
      </c>
      <c r="AK568" s="8"/>
      <c r="AL568" s="8"/>
      <c r="AM568" s="8"/>
      <c r="AN568" s="8"/>
      <c r="AO568" s="8"/>
      <c r="AP568" s="8">
        <v>1</v>
      </c>
      <c r="AQ568" s="8"/>
      <c r="AR568" s="8"/>
      <c r="AS568" s="8"/>
      <c r="AT568" s="8"/>
      <c r="AU568" s="8"/>
      <c r="AV568" s="8"/>
      <c r="AW568" s="8">
        <v>1</v>
      </c>
      <c r="AX568" s="8"/>
      <c r="AY568" s="8">
        <v>2</v>
      </c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>
        <v>4</v>
      </c>
      <c r="BK568" s="8"/>
      <c r="BL568" s="8">
        <v>1</v>
      </c>
      <c r="BM568" s="8"/>
      <c r="BN568" s="8"/>
      <c r="BO568" s="8"/>
      <c r="BP568" s="8"/>
      <c r="BQ568" s="8">
        <v>1</v>
      </c>
      <c r="BR568" s="8"/>
      <c r="BS568" s="8">
        <v>1</v>
      </c>
      <c r="BT568" s="8"/>
      <c r="BU568" s="8"/>
      <c r="BV568" s="8"/>
      <c r="BW568" s="8"/>
      <c r="BX568" s="8"/>
    </row>
    <row r="569" spans="1:76" ht="16.5" customHeight="1" x14ac:dyDescent="0.3">
      <c r="A569" t="s">
        <v>724</v>
      </c>
      <c r="B569" t="s">
        <v>656</v>
      </c>
      <c r="C569" t="s">
        <v>827</v>
      </c>
      <c r="D569" t="s">
        <v>838</v>
      </c>
      <c r="E569" t="s">
        <v>841</v>
      </c>
      <c r="F569" t="s">
        <v>841</v>
      </c>
      <c r="G569" s="5">
        <v>1494888</v>
      </c>
      <c r="H569" s="7" t="s">
        <v>494</v>
      </c>
      <c r="I569" s="5" t="s">
        <v>253</v>
      </c>
      <c r="J569" s="5">
        <v>2</v>
      </c>
      <c r="K569" s="5" t="s">
        <v>102</v>
      </c>
      <c r="L569" s="5" t="s">
        <v>109</v>
      </c>
      <c r="M569" s="5" t="s">
        <v>94</v>
      </c>
      <c r="N569" s="5" t="s">
        <v>283</v>
      </c>
      <c r="O569" s="4"/>
      <c r="P569" s="24">
        <f t="shared" si="135"/>
        <v>8</v>
      </c>
      <c r="Q569" s="8">
        <f t="shared" si="136"/>
        <v>0</v>
      </c>
      <c r="R569" s="8">
        <f t="shared" si="137"/>
        <v>8</v>
      </c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>
        <v>1</v>
      </c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>
        <v>2</v>
      </c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>
        <v>2</v>
      </c>
      <c r="BK569" s="8"/>
      <c r="BL569" s="8"/>
      <c r="BM569" s="8"/>
      <c r="BN569" s="8"/>
      <c r="BO569" s="8">
        <v>1</v>
      </c>
      <c r="BP569" s="8"/>
      <c r="BQ569" s="8">
        <v>1</v>
      </c>
      <c r="BR569" s="8"/>
      <c r="BS569" s="8">
        <v>1</v>
      </c>
      <c r="BT569" s="8"/>
      <c r="BU569" s="8"/>
      <c r="BV569" s="8"/>
      <c r="BW569" s="8"/>
      <c r="BX569" s="8"/>
    </row>
    <row r="570" spans="1:76" ht="16.5" customHeight="1" x14ac:dyDescent="0.3">
      <c r="A570" t="s">
        <v>724</v>
      </c>
      <c r="B570" t="s">
        <v>656</v>
      </c>
      <c r="C570" t="s">
        <v>827</v>
      </c>
      <c r="D570" t="s">
        <v>838</v>
      </c>
      <c r="E570" t="s">
        <v>665</v>
      </c>
      <c r="F570" t="s">
        <v>727</v>
      </c>
      <c r="G570" s="5">
        <v>1494875</v>
      </c>
      <c r="H570" s="7" t="s">
        <v>284</v>
      </c>
      <c r="I570" s="5" t="s">
        <v>253</v>
      </c>
      <c r="J570" s="5">
        <v>2</v>
      </c>
      <c r="K570" s="5" t="s">
        <v>102</v>
      </c>
      <c r="L570" s="5" t="s">
        <v>109</v>
      </c>
      <c r="M570" s="5" t="s">
        <v>94</v>
      </c>
      <c r="N570" s="5" t="s">
        <v>285</v>
      </c>
      <c r="O570" s="4"/>
      <c r="P570" s="24">
        <f t="shared" si="135"/>
        <v>11</v>
      </c>
      <c r="Q570" s="8">
        <f t="shared" si="136"/>
        <v>0</v>
      </c>
      <c r="R570" s="8">
        <f t="shared" si="137"/>
        <v>11</v>
      </c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>
        <v>1</v>
      </c>
      <c r="AK570" s="8"/>
      <c r="AL570" s="8"/>
      <c r="AM570" s="8"/>
      <c r="AN570" s="8">
        <v>1</v>
      </c>
      <c r="AO570" s="8"/>
      <c r="AP570" s="8"/>
      <c r="AQ570" s="8"/>
      <c r="AR570" s="8"/>
      <c r="AS570" s="8"/>
      <c r="AT570" s="8"/>
      <c r="AU570" s="8"/>
      <c r="AV570" s="8"/>
      <c r="AW570" s="8">
        <v>1</v>
      </c>
      <c r="AX570" s="8"/>
      <c r="AY570" s="8">
        <v>1</v>
      </c>
      <c r="AZ570" s="8"/>
      <c r="BA570" s="8"/>
      <c r="BB570" s="8"/>
      <c r="BC570" s="8"/>
      <c r="BD570" s="8"/>
      <c r="BE570" s="8"/>
      <c r="BF570" s="8"/>
      <c r="BG570" s="8"/>
      <c r="BH570" s="8">
        <v>1</v>
      </c>
      <c r="BI570" s="8"/>
      <c r="BJ570" s="8">
        <v>1</v>
      </c>
      <c r="BK570" s="8"/>
      <c r="BL570" s="8">
        <v>1</v>
      </c>
      <c r="BM570" s="8"/>
      <c r="BN570" s="8"/>
      <c r="BO570" s="8">
        <v>1</v>
      </c>
      <c r="BP570" s="8"/>
      <c r="BQ570" s="8">
        <v>1</v>
      </c>
      <c r="BR570" s="8"/>
      <c r="BS570" s="8">
        <v>1</v>
      </c>
      <c r="BT570" s="8"/>
      <c r="BU570" s="8"/>
      <c r="BV570" s="8">
        <v>1</v>
      </c>
      <c r="BW570" s="8"/>
      <c r="BX570" s="8"/>
    </row>
    <row r="571" spans="1:76" ht="16.5" customHeight="1" x14ac:dyDescent="0.3">
      <c r="A571" t="s">
        <v>724</v>
      </c>
      <c r="B571" t="s">
        <v>656</v>
      </c>
      <c r="C571" t="s">
        <v>827</v>
      </c>
      <c r="D571" t="s">
        <v>838</v>
      </c>
      <c r="E571" t="s">
        <v>747</v>
      </c>
      <c r="F571" t="s">
        <v>747</v>
      </c>
      <c r="G571" s="5">
        <v>1495125</v>
      </c>
      <c r="H571" s="7" t="s">
        <v>367</v>
      </c>
      <c r="I571" s="5" t="s">
        <v>253</v>
      </c>
      <c r="J571" s="5">
        <v>2</v>
      </c>
      <c r="K571" s="5" t="s">
        <v>102</v>
      </c>
      <c r="L571" s="5" t="s">
        <v>109</v>
      </c>
      <c r="M571" s="5" t="s">
        <v>94</v>
      </c>
      <c r="N571" s="5" t="s">
        <v>285</v>
      </c>
      <c r="O571" s="4"/>
      <c r="P571" s="24">
        <f t="shared" si="135"/>
        <v>22</v>
      </c>
      <c r="Q571" s="8">
        <f t="shared" si="136"/>
        <v>0</v>
      </c>
      <c r="R571" s="8">
        <f t="shared" si="137"/>
        <v>22</v>
      </c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>
        <v>1</v>
      </c>
      <c r="AJ571" s="8"/>
      <c r="AK571" s="8"/>
      <c r="AL571" s="8"/>
      <c r="AM571" s="8"/>
      <c r="AN571" s="8">
        <v>8</v>
      </c>
      <c r="AO571" s="8"/>
      <c r="AP571" s="8"/>
      <c r="AQ571" s="8"/>
      <c r="AR571" s="8"/>
      <c r="AS571" s="8"/>
      <c r="AT571" s="8"/>
      <c r="AU571" s="8"/>
      <c r="AV571" s="8"/>
      <c r="AW571" s="8">
        <v>9</v>
      </c>
      <c r="AX571" s="8"/>
      <c r="AY571" s="8"/>
      <c r="AZ571" s="8">
        <v>1</v>
      </c>
      <c r="BA571" s="8"/>
      <c r="BB571" s="8"/>
      <c r="BC571" s="8"/>
      <c r="BD571" s="8"/>
      <c r="BE571" s="8"/>
      <c r="BF571" s="8"/>
      <c r="BG571" s="8"/>
      <c r="BH571" s="8">
        <v>2</v>
      </c>
      <c r="BI571" s="8"/>
      <c r="BJ571" s="8"/>
      <c r="BK571" s="8"/>
      <c r="BL571" s="8"/>
      <c r="BM571" s="8"/>
      <c r="BN571" s="8"/>
      <c r="BO571" s="8">
        <v>1</v>
      </c>
      <c r="BP571" s="8"/>
      <c r="BQ571" s="8"/>
      <c r="BR571" s="8"/>
      <c r="BS571" s="8"/>
      <c r="BT571" s="8"/>
      <c r="BU571" s="8"/>
      <c r="BV571" s="8"/>
      <c r="BW571" s="8"/>
      <c r="BX571" s="8"/>
    </row>
    <row r="572" spans="1:76" ht="16.5" customHeight="1" x14ac:dyDescent="0.3">
      <c r="A572" t="s">
        <v>724</v>
      </c>
      <c r="B572" t="s">
        <v>656</v>
      </c>
      <c r="C572" t="s">
        <v>827</v>
      </c>
      <c r="D572" t="s">
        <v>838</v>
      </c>
      <c r="E572" t="s">
        <v>741</v>
      </c>
      <c r="F572" t="s">
        <v>741</v>
      </c>
      <c r="G572" s="5">
        <v>1495160</v>
      </c>
      <c r="H572" s="7" t="s">
        <v>291</v>
      </c>
      <c r="I572" s="5" t="s">
        <v>253</v>
      </c>
      <c r="J572" s="5">
        <v>2</v>
      </c>
      <c r="K572" s="5" t="s">
        <v>102</v>
      </c>
      <c r="L572" s="5" t="s">
        <v>109</v>
      </c>
      <c r="M572" s="5" t="s">
        <v>94</v>
      </c>
      <c r="N572" s="5" t="s">
        <v>285</v>
      </c>
      <c r="O572" s="4"/>
      <c r="P572" s="24">
        <f t="shared" si="135"/>
        <v>10</v>
      </c>
      <c r="Q572" s="8">
        <f t="shared" si="136"/>
        <v>0</v>
      </c>
      <c r="R572" s="8">
        <f t="shared" si="137"/>
        <v>10</v>
      </c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>
        <v>1</v>
      </c>
      <c r="AJ572" s="8"/>
      <c r="AK572" s="8"/>
      <c r="AL572" s="8"/>
      <c r="AM572" s="8"/>
      <c r="AN572" s="8">
        <v>3</v>
      </c>
      <c r="AO572" s="8"/>
      <c r="AP572" s="8"/>
      <c r="AQ572" s="8"/>
      <c r="AR572" s="8"/>
      <c r="AS572" s="8"/>
      <c r="AT572" s="8"/>
      <c r="AU572" s="8"/>
      <c r="AV572" s="8"/>
      <c r="AW572" s="8">
        <v>4</v>
      </c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>
        <v>2</v>
      </c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</row>
    <row r="573" spans="1:76" ht="16.5" customHeight="1" x14ac:dyDescent="0.3">
      <c r="A573" t="s">
        <v>724</v>
      </c>
      <c r="B573" t="s">
        <v>656</v>
      </c>
      <c r="C573" t="s">
        <v>827</v>
      </c>
      <c r="D573" t="s">
        <v>838</v>
      </c>
      <c r="E573" t="s">
        <v>734</v>
      </c>
      <c r="F573" t="s">
        <v>734</v>
      </c>
      <c r="G573" s="5">
        <v>1495192</v>
      </c>
      <c r="H573" s="7" t="s">
        <v>297</v>
      </c>
      <c r="I573" s="5" t="s">
        <v>253</v>
      </c>
      <c r="J573" s="5">
        <v>2</v>
      </c>
      <c r="K573" s="5" t="s">
        <v>102</v>
      </c>
      <c r="L573" s="5" t="s">
        <v>109</v>
      </c>
      <c r="M573" s="5" t="s">
        <v>94</v>
      </c>
      <c r="N573" s="5" t="s">
        <v>285</v>
      </c>
      <c r="O573" s="4"/>
      <c r="P573" s="24">
        <f t="shared" si="135"/>
        <v>5</v>
      </c>
      <c r="Q573" s="8">
        <f t="shared" si="136"/>
        <v>0</v>
      </c>
      <c r="R573" s="8">
        <f t="shared" si="137"/>
        <v>5</v>
      </c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>
        <v>1</v>
      </c>
      <c r="AL573" s="8"/>
      <c r="AM573" s="8"/>
      <c r="AN573" s="8"/>
      <c r="AO573" s="8"/>
      <c r="AP573" s="8"/>
      <c r="AQ573" s="8">
        <v>2</v>
      </c>
      <c r="AR573" s="8"/>
      <c r="AS573" s="8"/>
      <c r="AT573" s="8"/>
      <c r="AU573" s="8"/>
      <c r="AV573" s="8"/>
      <c r="AW573" s="8"/>
      <c r="AX573" s="8"/>
      <c r="AY573" s="8"/>
      <c r="AZ573" s="8">
        <v>2</v>
      </c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</row>
    <row r="574" spans="1:76" ht="16.5" customHeight="1" x14ac:dyDescent="0.3">
      <c r="A574" t="s">
        <v>724</v>
      </c>
      <c r="B574" t="s">
        <v>656</v>
      </c>
      <c r="C574" t="s">
        <v>827</v>
      </c>
      <c r="D574" t="s">
        <v>838</v>
      </c>
      <c r="E574" t="s">
        <v>735</v>
      </c>
      <c r="F574" t="s">
        <v>735</v>
      </c>
      <c r="G574" s="5">
        <v>1495220</v>
      </c>
      <c r="H574" s="7" t="s">
        <v>292</v>
      </c>
      <c r="I574" s="5" t="s">
        <v>253</v>
      </c>
      <c r="J574" s="5">
        <v>2</v>
      </c>
      <c r="K574" s="5" t="s">
        <v>102</v>
      </c>
      <c r="L574" s="5" t="s">
        <v>109</v>
      </c>
      <c r="M574" s="5" t="s">
        <v>94</v>
      </c>
      <c r="N574" s="5" t="s">
        <v>285</v>
      </c>
      <c r="O574" s="4"/>
      <c r="P574" s="24">
        <f t="shared" si="135"/>
        <v>16</v>
      </c>
      <c r="Q574" s="8">
        <f t="shared" si="136"/>
        <v>0</v>
      </c>
      <c r="R574" s="8">
        <f t="shared" si="137"/>
        <v>16</v>
      </c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>
        <v>1</v>
      </c>
      <c r="AK574" s="8"/>
      <c r="AL574" s="8"/>
      <c r="AM574" s="8"/>
      <c r="AN574" s="8"/>
      <c r="AO574" s="8"/>
      <c r="AP574" s="8"/>
      <c r="AQ574" s="8">
        <v>4</v>
      </c>
      <c r="AR574" s="8"/>
      <c r="AS574" s="8"/>
      <c r="AT574" s="8"/>
      <c r="AU574" s="8">
        <v>1</v>
      </c>
      <c r="AV574" s="8"/>
      <c r="AW574" s="8"/>
      <c r="AX574" s="8"/>
      <c r="AY574" s="8"/>
      <c r="AZ574" s="8">
        <v>5</v>
      </c>
      <c r="BA574" s="8"/>
      <c r="BB574" s="8"/>
      <c r="BC574" s="8"/>
      <c r="BD574" s="8">
        <v>2</v>
      </c>
      <c r="BE574" s="8">
        <v>1</v>
      </c>
      <c r="BF574" s="8"/>
      <c r="BG574" s="8"/>
      <c r="BH574" s="8">
        <v>2</v>
      </c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</row>
    <row r="575" spans="1:76" ht="16.5" customHeight="1" x14ac:dyDescent="0.3">
      <c r="G575" s="14">
        <v>1494414</v>
      </c>
      <c r="H575" s="15" t="s">
        <v>495</v>
      </c>
      <c r="I575" s="14" t="s">
        <v>253</v>
      </c>
      <c r="J575" s="14">
        <v>2</v>
      </c>
      <c r="K575" s="14" t="s">
        <v>254</v>
      </c>
      <c r="L575" s="14" t="s">
        <v>255</v>
      </c>
      <c r="M575" s="14" t="s">
        <v>94</v>
      </c>
      <c r="N575" s="14" t="s">
        <v>110</v>
      </c>
      <c r="O575" s="13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</row>
    <row r="576" spans="1:76" ht="16.5" customHeight="1" x14ac:dyDescent="0.3">
      <c r="A576" t="s">
        <v>724</v>
      </c>
      <c r="B576" t="s">
        <v>656</v>
      </c>
      <c r="C576" t="s">
        <v>827</v>
      </c>
      <c r="D576" t="s">
        <v>842</v>
      </c>
      <c r="E576" t="s">
        <v>842</v>
      </c>
      <c r="F576" t="s">
        <v>842</v>
      </c>
      <c r="G576" s="5">
        <v>1494414</v>
      </c>
      <c r="H576" s="38" t="s">
        <v>496</v>
      </c>
      <c r="I576" s="5" t="s">
        <v>253</v>
      </c>
      <c r="J576" s="5">
        <v>2</v>
      </c>
      <c r="K576" s="5" t="s">
        <v>254</v>
      </c>
      <c r="L576" s="5" t="s">
        <v>255</v>
      </c>
      <c r="M576" s="5" t="s">
        <v>94</v>
      </c>
      <c r="N576" s="5" t="s">
        <v>110</v>
      </c>
      <c r="O576" s="4"/>
      <c r="P576" s="24">
        <f t="shared" ref="P576:P582" si="138">SUM(Q576,R576)</f>
        <v>1</v>
      </c>
      <c r="Q576" s="8">
        <f t="shared" ref="Q576:Q582" si="139">S576</f>
        <v>0</v>
      </c>
      <c r="R576" s="8">
        <f t="shared" ref="R576:R582" si="140">SUM(T576:BX576)</f>
        <v>1</v>
      </c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>
        <v>1</v>
      </c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</row>
    <row r="577" spans="1:78" ht="16.5" customHeight="1" x14ac:dyDescent="0.3">
      <c r="A577" t="s">
        <v>724</v>
      </c>
      <c r="B577" t="s">
        <v>656</v>
      </c>
      <c r="C577" t="s">
        <v>827</v>
      </c>
      <c r="D577" t="s">
        <v>842</v>
      </c>
      <c r="E577" t="s">
        <v>843</v>
      </c>
      <c r="F577" t="s">
        <v>843</v>
      </c>
      <c r="G577" s="5">
        <v>1494415</v>
      </c>
      <c r="H577" s="7" t="s">
        <v>497</v>
      </c>
      <c r="I577" s="5" t="s">
        <v>253</v>
      </c>
      <c r="J577" s="5">
        <v>2</v>
      </c>
      <c r="K577" s="5" t="s">
        <v>102</v>
      </c>
      <c r="L577" s="5" t="s">
        <v>109</v>
      </c>
      <c r="M577" s="5" t="s">
        <v>94</v>
      </c>
      <c r="N577" s="5" t="s">
        <v>283</v>
      </c>
      <c r="O577" s="4"/>
      <c r="P577" s="24">
        <f t="shared" si="138"/>
        <v>15</v>
      </c>
      <c r="Q577" s="8">
        <f t="shared" si="139"/>
        <v>0</v>
      </c>
      <c r="R577" s="8">
        <f t="shared" si="140"/>
        <v>15</v>
      </c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>
        <v>1</v>
      </c>
      <c r="AK577" s="8"/>
      <c r="AL577" s="8"/>
      <c r="AM577" s="8"/>
      <c r="AN577" s="8"/>
      <c r="AO577" s="8"/>
      <c r="AP577" s="8">
        <v>2</v>
      </c>
      <c r="AQ577" s="8"/>
      <c r="AR577" s="8"/>
      <c r="AS577" s="8"/>
      <c r="AT577" s="8"/>
      <c r="AU577" s="8"/>
      <c r="AV577" s="8"/>
      <c r="AW577" s="8">
        <v>1</v>
      </c>
      <c r="AX577" s="8"/>
      <c r="AY577" s="8">
        <v>1</v>
      </c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>
        <v>4</v>
      </c>
      <c r="BK577" s="8"/>
      <c r="BL577" s="8">
        <v>1</v>
      </c>
      <c r="BM577" s="8"/>
      <c r="BN577" s="8"/>
      <c r="BO577" s="8">
        <v>1</v>
      </c>
      <c r="BP577" s="8"/>
      <c r="BQ577" s="8">
        <v>2</v>
      </c>
      <c r="BR577" s="8"/>
      <c r="BS577" s="8">
        <v>2</v>
      </c>
      <c r="BT577" s="8"/>
      <c r="BU577" s="8"/>
      <c r="BV577" s="8"/>
      <c r="BW577" s="8"/>
      <c r="BX577" s="8"/>
    </row>
    <row r="578" spans="1:78" ht="16.5" customHeight="1" x14ac:dyDescent="0.3">
      <c r="A578" t="s">
        <v>724</v>
      </c>
      <c r="B578" t="s">
        <v>656</v>
      </c>
      <c r="C578" t="s">
        <v>827</v>
      </c>
      <c r="D578" t="s">
        <v>842</v>
      </c>
      <c r="E578" t="s">
        <v>665</v>
      </c>
      <c r="F578" t="s">
        <v>727</v>
      </c>
      <c r="G578" s="5">
        <v>1494876</v>
      </c>
      <c r="H578" s="7" t="s">
        <v>284</v>
      </c>
      <c r="I578" s="5" t="s">
        <v>253</v>
      </c>
      <c r="J578" s="5">
        <v>2</v>
      </c>
      <c r="K578" s="5" t="s">
        <v>102</v>
      </c>
      <c r="L578" s="5" t="s">
        <v>109</v>
      </c>
      <c r="M578" s="5" t="s">
        <v>94</v>
      </c>
      <c r="N578" s="5" t="s">
        <v>285</v>
      </c>
      <c r="O578" s="4"/>
      <c r="P578" s="24">
        <f t="shared" si="138"/>
        <v>10</v>
      </c>
      <c r="Q578" s="8">
        <f t="shared" si="139"/>
        <v>0</v>
      </c>
      <c r="R578" s="8">
        <f t="shared" si="140"/>
        <v>10</v>
      </c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>
        <v>1</v>
      </c>
      <c r="AK578" s="8"/>
      <c r="AL578" s="8"/>
      <c r="AM578" s="8"/>
      <c r="AN578" s="8">
        <v>1</v>
      </c>
      <c r="AO578" s="8"/>
      <c r="AP578" s="8"/>
      <c r="AQ578" s="8"/>
      <c r="AR578" s="8"/>
      <c r="AS578" s="8"/>
      <c r="AT578" s="8"/>
      <c r="AU578" s="8"/>
      <c r="AV578" s="8"/>
      <c r="AW578" s="8">
        <v>1</v>
      </c>
      <c r="AX578" s="8"/>
      <c r="AY578" s="8">
        <v>1</v>
      </c>
      <c r="AZ578" s="8"/>
      <c r="BA578" s="8"/>
      <c r="BB578" s="8"/>
      <c r="BC578" s="8"/>
      <c r="BD578" s="8"/>
      <c r="BE578" s="8"/>
      <c r="BF578" s="8"/>
      <c r="BG578" s="8"/>
      <c r="BH578" s="8">
        <v>1</v>
      </c>
      <c r="BI578" s="8"/>
      <c r="BJ578" s="8"/>
      <c r="BK578" s="8"/>
      <c r="BL578" s="8">
        <v>1</v>
      </c>
      <c r="BM578" s="8"/>
      <c r="BN578" s="8"/>
      <c r="BO578" s="8"/>
      <c r="BP578" s="8"/>
      <c r="BQ578" s="8">
        <v>2</v>
      </c>
      <c r="BR578" s="8"/>
      <c r="BS578" s="8">
        <v>1</v>
      </c>
      <c r="BT578" s="8"/>
      <c r="BU578" s="8"/>
      <c r="BV578" s="8">
        <v>1</v>
      </c>
      <c r="BW578" s="8"/>
      <c r="BX578" s="8"/>
    </row>
    <row r="579" spans="1:78" ht="16.5" customHeight="1" x14ac:dyDescent="0.3">
      <c r="A579" t="s">
        <v>724</v>
      </c>
      <c r="B579" t="s">
        <v>656</v>
      </c>
      <c r="C579" t="s">
        <v>827</v>
      </c>
      <c r="D579" t="s">
        <v>842</v>
      </c>
      <c r="E579" t="s">
        <v>747</v>
      </c>
      <c r="F579" t="s">
        <v>747</v>
      </c>
      <c r="G579" s="5">
        <v>1495092</v>
      </c>
      <c r="H579" s="7" t="s">
        <v>367</v>
      </c>
      <c r="I579" s="5" t="s">
        <v>253</v>
      </c>
      <c r="J579" s="5">
        <v>2</v>
      </c>
      <c r="K579" s="5" t="s">
        <v>102</v>
      </c>
      <c r="L579" s="5" t="s">
        <v>109</v>
      </c>
      <c r="M579" s="5" t="s">
        <v>94</v>
      </c>
      <c r="N579" s="5" t="s">
        <v>285</v>
      </c>
      <c r="O579" s="4"/>
      <c r="P579" s="24">
        <f t="shared" si="138"/>
        <v>12</v>
      </c>
      <c r="Q579" s="8">
        <f t="shared" si="139"/>
        <v>0</v>
      </c>
      <c r="R579" s="8">
        <f t="shared" si="140"/>
        <v>12</v>
      </c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>
        <v>1</v>
      </c>
      <c r="AJ579" s="8"/>
      <c r="AK579" s="8"/>
      <c r="AL579" s="8"/>
      <c r="AM579" s="8"/>
      <c r="AN579" s="8">
        <v>4</v>
      </c>
      <c r="AO579" s="8"/>
      <c r="AP579" s="8"/>
      <c r="AQ579" s="8"/>
      <c r="AR579" s="8"/>
      <c r="AS579" s="8"/>
      <c r="AT579" s="8"/>
      <c r="AU579" s="8"/>
      <c r="AV579" s="8"/>
      <c r="AW579" s="8">
        <v>5</v>
      </c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>
        <v>1</v>
      </c>
      <c r="BI579" s="8"/>
      <c r="BJ579" s="8"/>
      <c r="BK579" s="8"/>
      <c r="BL579" s="8"/>
      <c r="BM579" s="8"/>
      <c r="BN579" s="8"/>
      <c r="BO579" s="8">
        <v>1</v>
      </c>
      <c r="BP579" s="8"/>
      <c r="BQ579" s="8"/>
      <c r="BR579" s="8"/>
      <c r="BS579" s="8"/>
      <c r="BT579" s="8"/>
      <c r="BU579" s="8"/>
      <c r="BV579" s="8"/>
      <c r="BW579" s="8"/>
      <c r="BX579" s="8"/>
    </row>
    <row r="580" spans="1:78" ht="16.5" customHeight="1" x14ac:dyDescent="0.3">
      <c r="A580" t="s">
        <v>724</v>
      </c>
      <c r="B580" t="s">
        <v>656</v>
      </c>
      <c r="C580" t="s">
        <v>827</v>
      </c>
      <c r="D580" t="s">
        <v>842</v>
      </c>
      <c r="E580" t="s">
        <v>741</v>
      </c>
      <c r="F580" t="s">
        <v>741</v>
      </c>
      <c r="G580" s="5">
        <v>1495122</v>
      </c>
      <c r="H580" s="7" t="s">
        <v>291</v>
      </c>
      <c r="I580" s="5" t="s">
        <v>253</v>
      </c>
      <c r="J580" s="5">
        <v>2</v>
      </c>
      <c r="K580" s="5" t="s">
        <v>102</v>
      </c>
      <c r="L580" s="5" t="s">
        <v>109</v>
      </c>
      <c r="M580" s="5" t="s">
        <v>94</v>
      </c>
      <c r="N580" s="5" t="s">
        <v>285</v>
      </c>
      <c r="O580" s="4"/>
      <c r="P580" s="24">
        <f t="shared" si="138"/>
        <v>10</v>
      </c>
      <c r="Q580" s="8">
        <f t="shared" si="139"/>
        <v>0</v>
      </c>
      <c r="R580" s="8">
        <f t="shared" si="140"/>
        <v>10</v>
      </c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>
        <v>1</v>
      </c>
      <c r="AJ580" s="8"/>
      <c r="AK580" s="8"/>
      <c r="AL580" s="8"/>
      <c r="AM580" s="8"/>
      <c r="AN580" s="8">
        <v>3</v>
      </c>
      <c r="AO580" s="8"/>
      <c r="AP580" s="8"/>
      <c r="AQ580" s="8"/>
      <c r="AR580" s="8"/>
      <c r="AS580" s="8"/>
      <c r="AT580" s="8"/>
      <c r="AU580" s="8"/>
      <c r="AV580" s="8"/>
      <c r="AW580" s="8">
        <v>4</v>
      </c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>
        <v>1</v>
      </c>
      <c r="BI580" s="8"/>
      <c r="BJ580" s="8"/>
      <c r="BK580" s="8"/>
      <c r="BL580" s="8"/>
      <c r="BM580" s="8"/>
      <c r="BN580" s="8"/>
      <c r="BO580" s="8">
        <v>1</v>
      </c>
      <c r="BP580" s="8"/>
      <c r="BQ580" s="8"/>
      <c r="BR580" s="8"/>
      <c r="BS580" s="8"/>
      <c r="BT580" s="8"/>
      <c r="BU580" s="8"/>
      <c r="BV580" s="8"/>
      <c r="BW580" s="8"/>
      <c r="BX580" s="8"/>
    </row>
    <row r="581" spans="1:78" ht="16.5" customHeight="1" x14ac:dyDescent="0.3">
      <c r="A581" t="s">
        <v>724</v>
      </c>
      <c r="B581" t="s">
        <v>656</v>
      </c>
      <c r="C581" t="s">
        <v>827</v>
      </c>
      <c r="D581" t="s">
        <v>842</v>
      </c>
      <c r="E581" t="s">
        <v>734</v>
      </c>
      <c r="F581" t="s">
        <v>734</v>
      </c>
      <c r="G581" s="5">
        <v>1495157</v>
      </c>
      <c r="H581" s="7" t="s">
        <v>297</v>
      </c>
      <c r="I581" s="5" t="s">
        <v>253</v>
      </c>
      <c r="J581" s="5">
        <v>2</v>
      </c>
      <c r="K581" s="5" t="s">
        <v>102</v>
      </c>
      <c r="L581" s="5" t="s">
        <v>109</v>
      </c>
      <c r="M581" s="5" t="s">
        <v>94</v>
      </c>
      <c r="N581" s="5" t="s">
        <v>285</v>
      </c>
      <c r="O581" s="4"/>
      <c r="P581" s="24">
        <f t="shared" si="138"/>
        <v>5</v>
      </c>
      <c r="Q581" s="8">
        <f t="shared" si="139"/>
        <v>0</v>
      </c>
      <c r="R581" s="8">
        <f t="shared" si="140"/>
        <v>5</v>
      </c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>
        <v>1</v>
      </c>
      <c r="AL581" s="8"/>
      <c r="AM581" s="8"/>
      <c r="AN581" s="8"/>
      <c r="AO581" s="8"/>
      <c r="AP581" s="8"/>
      <c r="AQ581" s="8">
        <v>2</v>
      </c>
      <c r="AR581" s="8"/>
      <c r="AS581" s="8"/>
      <c r="AT581" s="8"/>
      <c r="AU581" s="8"/>
      <c r="AV581" s="8"/>
      <c r="AW581" s="8"/>
      <c r="AX581" s="8"/>
      <c r="AY581" s="8"/>
      <c r="AZ581" s="8">
        <v>2</v>
      </c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</row>
    <row r="582" spans="1:78" ht="16.5" customHeight="1" x14ac:dyDescent="0.3">
      <c r="A582" t="s">
        <v>724</v>
      </c>
      <c r="B582" t="s">
        <v>656</v>
      </c>
      <c r="C582" t="s">
        <v>827</v>
      </c>
      <c r="D582" t="s">
        <v>842</v>
      </c>
      <c r="E582" t="s">
        <v>735</v>
      </c>
      <c r="F582" t="s">
        <v>735</v>
      </c>
      <c r="G582" s="5">
        <v>1495189</v>
      </c>
      <c r="H582" s="7" t="s">
        <v>292</v>
      </c>
      <c r="I582" s="5" t="s">
        <v>253</v>
      </c>
      <c r="J582" s="5">
        <v>2</v>
      </c>
      <c r="K582" s="5" t="s">
        <v>102</v>
      </c>
      <c r="L582" s="5" t="s">
        <v>109</v>
      </c>
      <c r="M582" s="5" t="s">
        <v>94</v>
      </c>
      <c r="N582" s="5" t="s">
        <v>285</v>
      </c>
      <c r="O582" s="4"/>
      <c r="P582" s="24">
        <f t="shared" si="138"/>
        <v>11</v>
      </c>
      <c r="Q582" s="8">
        <f t="shared" si="139"/>
        <v>0</v>
      </c>
      <c r="R582" s="8">
        <f t="shared" si="140"/>
        <v>11</v>
      </c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>
        <v>1</v>
      </c>
      <c r="AK582" s="8"/>
      <c r="AL582" s="8"/>
      <c r="AM582" s="8"/>
      <c r="AN582" s="8"/>
      <c r="AO582" s="8"/>
      <c r="AP582" s="8"/>
      <c r="AQ582" s="8">
        <v>3</v>
      </c>
      <c r="AR582" s="8"/>
      <c r="AS582" s="8"/>
      <c r="AT582" s="8"/>
      <c r="AU582" s="8">
        <v>1</v>
      </c>
      <c r="AV582" s="8">
        <v>1</v>
      </c>
      <c r="AW582" s="8"/>
      <c r="AX582" s="8"/>
      <c r="AY582" s="8"/>
      <c r="AZ582" s="8">
        <v>1</v>
      </c>
      <c r="BA582" s="8"/>
      <c r="BB582" s="8"/>
      <c r="BC582" s="8"/>
      <c r="BD582" s="8">
        <v>1</v>
      </c>
      <c r="BE582" s="8">
        <v>1</v>
      </c>
      <c r="BF582" s="8"/>
      <c r="BG582" s="8"/>
      <c r="BH582" s="8">
        <v>2</v>
      </c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</row>
    <row r="583" spans="1:78" ht="16.5" customHeight="1" x14ac:dyDescent="0.3">
      <c r="G583" s="14">
        <v>1495047</v>
      </c>
      <c r="H583" s="15" t="s">
        <v>498</v>
      </c>
      <c r="I583" s="14" t="s">
        <v>253</v>
      </c>
      <c r="J583" s="14">
        <v>2</v>
      </c>
      <c r="K583" s="14" t="s">
        <v>254</v>
      </c>
      <c r="L583" s="14" t="s">
        <v>255</v>
      </c>
      <c r="M583" s="14" t="s">
        <v>94</v>
      </c>
      <c r="N583" s="14" t="s">
        <v>110</v>
      </c>
      <c r="O583" s="13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</row>
    <row r="584" spans="1:78" ht="16.5" customHeight="1" x14ac:dyDescent="0.3">
      <c r="A584" t="s">
        <v>724</v>
      </c>
      <c r="B584" t="s">
        <v>656</v>
      </c>
      <c r="C584" t="s">
        <v>827</v>
      </c>
      <c r="D584" t="s">
        <v>844</v>
      </c>
      <c r="E584" t="s">
        <v>844</v>
      </c>
      <c r="F584" t="s">
        <v>844</v>
      </c>
      <c r="G584" s="5">
        <v>1495047</v>
      </c>
      <c r="H584" s="38" t="s">
        <v>499</v>
      </c>
      <c r="I584" s="5" t="s">
        <v>253</v>
      </c>
      <c r="J584" s="5">
        <v>2</v>
      </c>
      <c r="K584" s="5" t="s">
        <v>254</v>
      </c>
      <c r="L584" s="5" t="s">
        <v>255</v>
      </c>
      <c r="M584" s="5" t="s">
        <v>94</v>
      </c>
      <c r="N584" s="5" t="s">
        <v>110</v>
      </c>
      <c r="O584" s="4"/>
      <c r="P584" s="24">
        <f t="shared" ref="P584:P589" si="141">SUM(Q584,R584)</f>
        <v>1</v>
      </c>
      <c r="Q584" s="8">
        <f t="shared" ref="Q584:Q589" si="142">S584</f>
        <v>0</v>
      </c>
      <c r="R584" s="8">
        <f t="shared" ref="R584:R589" si="143">SUM(T584:BX584)</f>
        <v>1</v>
      </c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>
        <v>1</v>
      </c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</row>
    <row r="585" spans="1:78" ht="16.5" customHeight="1" x14ac:dyDescent="0.3">
      <c r="A585" t="s">
        <v>724</v>
      </c>
      <c r="B585" t="s">
        <v>656</v>
      </c>
      <c r="C585" t="s">
        <v>827</v>
      </c>
      <c r="D585" t="s">
        <v>844</v>
      </c>
      <c r="E585" t="s">
        <v>845</v>
      </c>
      <c r="F585" t="s">
        <v>845</v>
      </c>
      <c r="G585" s="5">
        <v>1495057</v>
      </c>
      <c r="H585" s="7" t="s">
        <v>500</v>
      </c>
      <c r="I585" s="5" t="s">
        <v>253</v>
      </c>
      <c r="J585" s="5">
        <v>2</v>
      </c>
      <c r="K585" s="5" t="s">
        <v>102</v>
      </c>
      <c r="L585" s="5" t="s">
        <v>109</v>
      </c>
      <c r="M585" s="5" t="s">
        <v>94</v>
      </c>
      <c r="N585" s="5" t="s">
        <v>283</v>
      </c>
      <c r="O585" s="4"/>
      <c r="P585" s="24">
        <f t="shared" si="141"/>
        <v>12</v>
      </c>
      <c r="Q585" s="8">
        <f t="shared" si="142"/>
        <v>0</v>
      </c>
      <c r="R585" s="8">
        <f t="shared" si="143"/>
        <v>12</v>
      </c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>
        <v>1</v>
      </c>
      <c r="AJ585" s="8"/>
      <c r="AK585" s="8"/>
      <c r="AL585" s="8"/>
      <c r="AM585" s="8"/>
      <c r="AN585" s="8"/>
      <c r="AO585" s="8"/>
      <c r="AP585" s="8">
        <v>1</v>
      </c>
      <c r="AQ585" s="8"/>
      <c r="AR585" s="8"/>
      <c r="AS585" s="8"/>
      <c r="AT585" s="8"/>
      <c r="AU585" s="8"/>
      <c r="AV585" s="8"/>
      <c r="AW585" s="8">
        <v>1</v>
      </c>
      <c r="AX585" s="8"/>
      <c r="AY585" s="8">
        <v>2</v>
      </c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>
        <v>2</v>
      </c>
      <c r="BK585" s="8"/>
      <c r="BL585" s="8">
        <v>1</v>
      </c>
      <c r="BM585" s="8"/>
      <c r="BN585" s="8"/>
      <c r="BO585" s="8">
        <v>1</v>
      </c>
      <c r="BP585" s="8"/>
      <c r="BQ585" s="8">
        <v>2</v>
      </c>
      <c r="BR585" s="8"/>
      <c r="BS585" s="8">
        <v>1</v>
      </c>
      <c r="BT585" s="8"/>
      <c r="BU585" s="8"/>
      <c r="BV585" s="8"/>
      <c r="BW585" s="8"/>
      <c r="BX585" s="8"/>
    </row>
    <row r="586" spans="1:78" ht="16.5" customHeight="1" x14ac:dyDescent="0.3">
      <c r="A586" t="s">
        <v>724</v>
      </c>
      <c r="B586" t="s">
        <v>656</v>
      </c>
      <c r="C586" t="s">
        <v>827</v>
      </c>
      <c r="D586" t="s">
        <v>844</v>
      </c>
      <c r="E586" t="s">
        <v>665</v>
      </c>
      <c r="F586" t="s">
        <v>727</v>
      </c>
      <c r="G586" s="5">
        <v>1495065</v>
      </c>
      <c r="H586" s="7" t="s">
        <v>284</v>
      </c>
      <c r="I586" s="5" t="s">
        <v>253</v>
      </c>
      <c r="J586" s="5">
        <v>2</v>
      </c>
      <c r="K586" s="5" t="s">
        <v>102</v>
      </c>
      <c r="L586" s="5" t="s">
        <v>109</v>
      </c>
      <c r="M586" s="5" t="s">
        <v>94</v>
      </c>
      <c r="N586" s="5" t="s">
        <v>285</v>
      </c>
      <c r="O586" s="4"/>
      <c r="P586" s="24">
        <f t="shared" si="141"/>
        <v>6</v>
      </c>
      <c r="Q586" s="8">
        <f t="shared" si="142"/>
        <v>0</v>
      </c>
      <c r="R586" s="8">
        <f t="shared" si="143"/>
        <v>6</v>
      </c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>
        <v>1</v>
      </c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>
        <v>1</v>
      </c>
      <c r="AX586" s="8"/>
      <c r="AY586" s="8">
        <v>1</v>
      </c>
      <c r="AZ586" s="8"/>
      <c r="BA586" s="8"/>
      <c r="BB586" s="8"/>
      <c r="BC586" s="8"/>
      <c r="BD586" s="8"/>
      <c r="BE586" s="8"/>
      <c r="BF586" s="8"/>
      <c r="BG586" s="8"/>
      <c r="BH586" s="8">
        <v>1</v>
      </c>
      <c r="BI586" s="8"/>
      <c r="BJ586" s="8"/>
      <c r="BK586" s="8"/>
      <c r="BL586" s="8"/>
      <c r="BM586" s="8"/>
      <c r="BN586" s="8"/>
      <c r="BO586" s="8"/>
      <c r="BP586" s="8"/>
      <c r="BQ586" s="8">
        <v>1</v>
      </c>
      <c r="BR586" s="8"/>
      <c r="BS586" s="8">
        <v>1</v>
      </c>
      <c r="BT586" s="8"/>
      <c r="BU586" s="8"/>
      <c r="BV586" s="8"/>
      <c r="BW586" s="8"/>
      <c r="BX586" s="8"/>
    </row>
    <row r="587" spans="1:78" ht="16.5" customHeight="1" x14ac:dyDescent="0.3">
      <c r="A587" t="s">
        <v>724</v>
      </c>
      <c r="B587" t="s">
        <v>656</v>
      </c>
      <c r="C587" t="s">
        <v>827</v>
      </c>
      <c r="D587" t="s">
        <v>844</v>
      </c>
      <c r="E587" t="s">
        <v>747</v>
      </c>
      <c r="F587" t="s">
        <v>747</v>
      </c>
      <c r="G587" s="5">
        <v>1495074</v>
      </c>
      <c r="H587" s="7" t="s">
        <v>367</v>
      </c>
      <c r="I587" s="5" t="s">
        <v>253</v>
      </c>
      <c r="J587" s="5">
        <v>2</v>
      </c>
      <c r="K587" s="5" t="s">
        <v>102</v>
      </c>
      <c r="L587" s="5" t="s">
        <v>109</v>
      </c>
      <c r="M587" s="5" t="s">
        <v>94</v>
      </c>
      <c r="N587" s="5" t="s">
        <v>285</v>
      </c>
      <c r="O587" s="4"/>
      <c r="P587" s="24">
        <f t="shared" si="141"/>
        <v>9</v>
      </c>
      <c r="Q587" s="8">
        <f t="shared" si="142"/>
        <v>0</v>
      </c>
      <c r="R587" s="8">
        <f t="shared" si="143"/>
        <v>9</v>
      </c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>
        <v>1</v>
      </c>
      <c r="AJ587" s="8"/>
      <c r="AK587" s="8"/>
      <c r="AL587" s="8"/>
      <c r="AM587" s="8"/>
      <c r="AN587" s="8">
        <v>2</v>
      </c>
      <c r="AO587" s="8"/>
      <c r="AP587" s="8"/>
      <c r="AQ587" s="8"/>
      <c r="AR587" s="8"/>
      <c r="AS587" s="8"/>
      <c r="AT587" s="8"/>
      <c r="AU587" s="8"/>
      <c r="AV587" s="8"/>
      <c r="AW587" s="8">
        <v>3</v>
      </c>
      <c r="AX587" s="8"/>
      <c r="AY587" s="8"/>
      <c r="AZ587" s="8"/>
      <c r="BA587" s="8"/>
      <c r="BB587" s="8"/>
      <c r="BC587" s="8"/>
      <c r="BD587" s="8">
        <v>1</v>
      </c>
      <c r="BE587" s="8"/>
      <c r="BF587" s="8"/>
      <c r="BG587" s="8"/>
      <c r="BH587" s="8">
        <v>1</v>
      </c>
      <c r="BI587" s="8"/>
      <c r="BJ587" s="8"/>
      <c r="BK587" s="8"/>
      <c r="BL587" s="8"/>
      <c r="BM587" s="8"/>
      <c r="BN587" s="8"/>
      <c r="BO587" s="8">
        <v>1</v>
      </c>
      <c r="BP587" s="8"/>
      <c r="BQ587" s="8"/>
      <c r="BR587" s="8"/>
      <c r="BS587" s="8"/>
      <c r="BT587" s="8"/>
      <c r="BU587" s="8"/>
      <c r="BV587" s="8"/>
      <c r="BW587" s="8"/>
      <c r="BX587" s="8"/>
    </row>
    <row r="588" spans="1:78" ht="16.5" customHeight="1" x14ac:dyDescent="0.3">
      <c r="A588" t="s">
        <v>724</v>
      </c>
      <c r="B588" t="s">
        <v>656</v>
      </c>
      <c r="C588" t="s">
        <v>827</v>
      </c>
      <c r="D588" t="s">
        <v>844</v>
      </c>
      <c r="E588" t="s">
        <v>741</v>
      </c>
      <c r="F588" t="s">
        <v>741</v>
      </c>
      <c r="G588" s="5">
        <v>1495093</v>
      </c>
      <c r="H588" s="7" t="s">
        <v>291</v>
      </c>
      <c r="I588" s="5" t="s">
        <v>253</v>
      </c>
      <c r="J588" s="5">
        <v>2</v>
      </c>
      <c r="K588" s="5" t="s">
        <v>102</v>
      </c>
      <c r="L588" s="5" t="s">
        <v>109</v>
      </c>
      <c r="M588" s="5" t="s">
        <v>94</v>
      </c>
      <c r="N588" s="5" t="s">
        <v>285</v>
      </c>
      <c r="O588" s="4"/>
      <c r="P588" s="24">
        <f t="shared" si="141"/>
        <v>10</v>
      </c>
      <c r="Q588" s="8">
        <f t="shared" si="142"/>
        <v>0</v>
      </c>
      <c r="R588" s="8">
        <f t="shared" si="143"/>
        <v>10</v>
      </c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>
        <v>1</v>
      </c>
      <c r="AJ588" s="8"/>
      <c r="AK588" s="8"/>
      <c r="AL588" s="8"/>
      <c r="AM588" s="8"/>
      <c r="AN588" s="8">
        <v>3</v>
      </c>
      <c r="AO588" s="8"/>
      <c r="AP588" s="8"/>
      <c r="AQ588" s="8"/>
      <c r="AR588" s="8"/>
      <c r="AS588" s="8"/>
      <c r="AT588" s="8"/>
      <c r="AU588" s="8"/>
      <c r="AV588" s="8"/>
      <c r="AW588" s="8">
        <v>4</v>
      </c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>
        <v>1</v>
      </c>
      <c r="BI588" s="8"/>
      <c r="BJ588" s="8"/>
      <c r="BK588" s="8"/>
      <c r="BL588" s="8"/>
      <c r="BM588" s="8"/>
      <c r="BN588" s="8"/>
      <c r="BO588" s="8">
        <v>1</v>
      </c>
      <c r="BP588" s="8"/>
      <c r="BQ588" s="8"/>
      <c r="BR588" s="8"/>
      <c r="BS588" s="8"/>
      <c r="BT588" s="8"/>
      <c r="BU588" s="8"/>
      <c r="BV588" s="8"/>
      <c r="BW588" s="8"/>
      <c r="BX588" s="8"/>
    </row>
    <row r="589" spans="1:78" ht="16.5" customHeight="1" x14ac:dyDescent="0.3">
      <c r="A589" t="s">
        <v>724</v>
      </c>
      <c r="B589" t="s">
        <v>656</v>
      </c>
      <c r="C589" t="s">
        <v>827</v>
      </c>
      <c r="D589" t="s">
        <v>844</v>
      </c>
      <c r="E589" t="s">
        <v>735</v>
      </c>
      <c r="F589" t="s">
        <v>735</v>
      </c>
      <c r="G589" s="5">
        <v>1495123</v>
      </c>
      <c r="H589" s="7" t="s">
        <v>292</v>
      </c>
      <c r="I589" s="5" t="s">
        <v>253</v>
      </c>
      <c r="J589" s="5">
        <v>2</v>
      </c>
      <c r="K589" s="5" t="s">
        <v>102</v>
      </c>
      <c r="L589" s="5" t="s">
        <v>109</v>
      </c>
      <c r="M589" s="5" t="s">
        <v>94</v>
      </c>
      <c r="N589" s="5" t="s">
        <v>285</v>
      </c>
      <c r="O589" s="4"/>
      <c r="P589" s="24">
        <f t="shared" si="141"/>
        <v>10</v>
      </c>
      <c r="Q589" s="8">
        <f t="shared" si="142"/>
        <v>0</v>
      </c>
      <c r="R589" s="8">
        <f t="shared" si="143"/>
        <v>10</v>
      </c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>
        <v>1</v>
      </c>
      <c r="AK589" s="8"/>
      <c r="AL589" s="8"/>
      <c r="AM589" s="8"/>
      <c r="AN589" s="8"/>
      <c r="AO589" s="8"/>
      <c r="AP589" s="8"/>
      <c r="AQ589" s="8">
        <v>2</v>
      </c>
      <c r="AR589" s="8"/>
      <c r="AS589" s="8"/>
      <c r="AT589" s="8"/>
      <c r="AU589" s="8">
        <v>1</v>
      </c>
      <c r="AV589" s="8">
        <v>1</v>
      </c>
      <c r="AW589" s="8"/>
      <c r="AX589" s="8"/>
      <c r="AY589" s="8"/>
      <c r="AZ589" s="8">
        <v>3</v>
      </c>
      <c r="BA589" s="8"/>
      <c r="BB589" s="8"/>
      <c r="BC589" s="8"/>
      <c r="BD589" s="8"/>
      <c r="BE589" s="8"/>
      <c r="BF589" s="8"/>
      <c r="BG589" s="8"/>
      <c r="BH589" s="8">
        <v>2</v>
      </c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</row>
    <row r="590" spans="1:78" ht="16.5" customHeight="1" x14ac:dyDescent="0.3">
      <c r="G590" s="10">
        <v>1492130</v>
      </c>
      <c r="H590" s="11" t="s">
        <v>501</v>
      </c>
      <c r="I590" s="10" t="s">
        <v>253</v>
      </c>
      <c r="J590" s="10">
        <v>1</v>
      </c>
      <c r="K590" s="10" t="s">
        <v>502</v>
      </c>
      <c r="L590" s="10" t="s">
        <v>503</v>
      </c>
      <c r="M590" s="10" t="s">
        <v>94</v>
      </c>
      <c r="N590" s="10" t="s">
        <v>197</v>
      </c>
      <c r="O590" s="9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</row>
    <row r="591" spans="1:78" ht="16.5" customHeight="1" x14ac:dyDescent="0.3">
      <c r="A591" t="s">
        <v>724</v>
      </c>
      <c r="B591" t="s">
        <v>846</v>
      </c>
      <c r="C591" t="s">
        <v>847</v>
      </c>
      <c r="D591" t="s">
        <v>847</v>
      </c>
      <c r="E591" t="s">
        <v>847</v>
      </c>
      <c r="F591" t="s">
        <v>847</v>
      </c>
      <c r="G591" s="5">
        <v>1492130</v>
      </c>
      <c r="H591" s="38" t="s">
        <v>504</v>
      </c>
      <c r="I591" s="5" t="s">
        <v>253</v>
      </c>
      <c r="J591" s="5">
        <v>1</v>
      </c>
      <c r="K591" s="5" t="s">
        <v>502</v>
      </c>
      <c r="L591" s="5" t="s">
        <v>503</v>
      </c>
      <c r="M591" s="5" t="s">
        <v>94</v>
      </c>
      <c r="N591" s="5" t="s">
        <v>197</v>
      </c>
      <c r="O591" s="4"/>
      <c r="P591" s="8">
        <f t="shared" ref="P591:P592" si="144">SUM(Q591,R591)</f>
        <v>1</v>
      </c>
      <c r="Q591" s="8">
        <f t="shared" ref="Q591:Q592" si="145">S591</f>
        <v>1</v>
      </c>
      <c r="R591" s="8">
        <f t="shared" ref="R591:R592" si="146">SUM(T591:BX591)</f>
        <v>0</v>
      </c>
      <c r="S591" s="8">
        <v>1</v>
      </c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Z591" t="s">
        <v>565</v>
      </c>
    </row>
    <row r="592" spans="1:78" ht="16.5" customHeight="1" x14ac:dyDescent="0.3">
      <c r="A592" t="s">
        <v>724</v>
      </c>
      <c r="B592" t="s">
        <v>846</v>
      </c>
      <c r="C592" t="s">
        <v>847</v>
      </c>
      <c r="D592" t="s">
        <v>847</v>
      </c>
      <c r="E592" t="s">
        <v>848</v>
      </c>
      <c r="F592" t="s">
        <v>848</v>
      </c>
      <c r="G592" s="5">
        <v>1492947</v>
      </c>
      <c r="H592" s="38" t="s">
        <v>505</v>
      </c>
      <c r="I592" s="5" t="s">
        <v>253</v>
      </c>
      <c r="J592" s="5">
        <v>1</v>
      </c>
      <c r="K592" s="5" t="s">
        <v>220</v>
      </c>
      <c r="L592" s="5" t="s">
        <v>220</v>
      </c>
      <c r="M592" s="5" t="s">
        <v>94</v>
      </c>
      <c r="N592" s="5" t="s">
        <v>506</v>
      </c>
      <c r="O592" s="4"/>
      <c r="P592" s="8">
        <f t="shared" si="144"/>
        <v>5</v>
      </c>
      <c r="Q592" s="8">
        <f t="shared" si="145"/>
        <v>0</v>
      </c>
      <c r="R592" s="8">
        <f t="shared" si="146"/>
        <v>5</v>
      </c>
      <c r="S592" s="8"/>
      <c r="T592" s="8"/>
      <c r="U592" s="8">
        <v>1</v>
      </c>
      <c r="V592" s="8"/>
      <c r="W592" s="8"/>
      <c r="X592" s="8"/>
      <c r="Y592" s="8"/>
      <c r="Z592" s="8"/>
      <c r="AA592" s="8"/>
      <c r="AB592" s="8"/>
      <c r="AC592" s="8"/>
      <c r="AD592" s="8"/>
      <c r="AE592" s="8">
        <v>1</v>
      </c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>
        <v>1</v>
      </c>
      <c r="BO592" s="8">
        <v>1</v>
      </c>
      <c r="BP592" s="8"/>
      <c r="BQ592" s="8"/>
      <c r="BR592" s="8"/>
      <c r="BS592" s="8"/>
      <c r="BT592" s="8">
        <v>1</v>
      </c>
      <c r="BU592" s="8"/>
      <c r="BV592" s="8"/>
      <c r="BW592" s="8"/>
      <c r="BX592" s="8"/>
      <c r="BZ592" t="s">
        <v>565</v>
      </c>
    </row>
    <row r="593" spans="1:78" ht="16.5" customHeight="1" x14ac:dyDescent="0.3">
      <c r="G593" s="14">
        <v>1493609</v>
      </c>
      <c r="H593" s="15" t="s">
        <v>507</v>
      </c>
      <c r="I593" s="14" t="s">
        <v>253</v>
      </c>
      <c r="J593" s="14">
        <v>1</v>
      </c>
      <c r="K593" s="14" t="s">
        <v>508</v>
      </c>
      <c r="L593" s="14" t="s">
        <v>509</v>
      </c>
      <c r="M593" s="14" t="s">
        <v>94</v>
      </c>
      <c r="N593" s="14" t="s">
        <v>506</v>
      </c>
      <c r="O593" s="13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</row>
    <row r="594" spans="1:78" ht="16.5" customHeight="1" x14ac:dyDescent="0.3">
      <c r="A594" t="s">
        <v>724</v>
      </c>
      <c r="B594" t="s">
        <v>846</v>
      </c>
      <c r="C594" t="s">
        <v>847</v>
      </c>
      <c r="D594" t="s">
        <v>849</v>
      </c>
      <c r="E594" t="s">
        <v>849</v>
      </c>
      <c r="F594" t="s">
        <v>849</v>
      </c>
      <c r="G594" s="5">
        <v>1493609</v>
      </c>
      <c r="H594" s="38" t="s">
        <v>510</v>
      </c>
      <c r="I594" s="5" t="s">
        <v>253</v>
      </c>
      <c r="J594" s="5">
        <v>1</v>
      </c>
      <c r="K594" s="5" t="s">
        <v>508</v>
      </c>
      <c r="L594" s="5" t="s">
        <v>509</v>
      </c>
      <c r="M594" s="5" t="s">
        <v>94</v>
      </c>
      <c r="N594" s="5" t="s">
        <v>506</v>
      </c>
      <c r="O594" s="4"/>
      <c r="P594" s="8">
        <f t="shared" ref="P594:P595" si="147">SUM(Q594,R594)</f>
        <v>1</v>
      </c>
      <c r="Q594" s="8">
        <f t="shared" ref="Q594:Q595" si="148">S594</f>
        <v>0</v>
      </c>
      <c r="R594" s="8">
        <f t="shared" ref="R594:R595" si="149">SUM(T594:BX594)</f>
        <v>1</v>
      </c>
      <c r="S594" s="8"/>
      <c r="T594" s="8"/>
      <c r="U594" s="8">
        <v>1</v>
      </c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Z594" t="s">
        <v>565</v>
      </c>
    </row>
    <row r="595" spans="1:78" ht="16.5" customHeight="1" x14ac:dyDescent="0.3">
      <c r="A595" t="s">
        <v>724</v>
      </c>
      <c r="B595" t="s">
        <v>846</v>
      </c>
      <c r="C595" t="s">
        <v>847</v>
      </c>
      <c r="D595" t="s">
        <v>849</v>
      </c>
      <c r="E595" t="s">
        <v>849</v>
      </c>
      <c r="F595" t="s">
        <v>850</v>
      </c>
      <c r="G595" s="5">
        <v>1493610</v>
      </c>
      <c r="H595" s="38" t="s">
        <v>511</v>
      </c>
      <c r="I595" s="5" t="s">
        <v>253</v>
      </c>
      <c r="J595" s="5">
        <v>1</v>
      </c>
      <c r="K595" s="5" t="s">
        <v>102</v>
      </c>
      <c r="L595" s="5" t="s">
        <v>109</v>
      </c>
      <c r="M595" s="5" t="s">
        <v>94</v>
      </c>
      <c r="N595" s="5" t="s">
        <v>119</v>
      </c>
      <c r="O595" s="4"/>
      <c r="P595" s="8">
        <f t="shared" si="147"/>
        <v>19</v>
      </c>
      <c r="Q595" s="8">
        <f t="shared" si="148"/>
        <v>0</v>
      </c>
      <c r="R595" s="8">
        <f t="shared" si="149"/>
        <v>19</v>
      </c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>
        <v>1</v>
      </c>
      <c r="AE595" s="8">
        <v>1</v>
      </c>
      <c r="AF595" s="8"/>
      <c r="AG595" s="8"/>
      <c r="AH595" s="8"/>
      <c r="AI595" s="8">
        <v>1</v>
      </c>
      <c r="AJ595" s="8"/>
      <c r="AK595" s="8"/>
      <c r="AL595" s="8">
        <v>1</v>
      </c>
      <c r="AM595" s="8"/>
      <c r="AN595" s="8">
        <v>6</v>
      </c>
      <c r="AO595" s="8"/>
      <c r="AP595" s="8"/>
      <c r="AQ595" s="8"/>
      <c r="AR595" s="8"/>
      <c r="AS595" s="8">
        <v>1</v>
      </c>
      <c r="AT595" s="8"/>
      <c r="AU595" s="8"/>
      <c r="AV595" s="8"/>
      <c r="AW595" s="8">
        <v>3</v>
      </c>
      <c r="AX595" s="8"/>
      <c r="AY595" s="8"/>
      <c r="AZ595" s="8"/>
      <c r="BA595" s="8"/>
      <c r="BB595" s="8">
        <v>1</v>
      </c>
      <c r="BC595" s="8"/>
      <c r="BD595" s="8"/>
      <c r="BE595" s="8"/>
      <c r="BF595" s="8"/>
      <c r="BG595" s="8"/>
      <c r="BH595" s="8">
        <v>1</v>
      </c>
      <c r="BI595" s="8"/>
      <c r="BJ595" s="8"/>
      <c r="BK595" s="8"/>
      <c r="BL595" s="8"/>
      <c r="BM595" s="8"/>
      <c r="BN595" s="8"/>
      <c r="BO595" s="8">
        <v>1</v>
      </c>
      <c r="BP595" s="8"/>
      <c r="BQ595" s="8"/>
      <c r="BR595" s="8"/>
      <c r="BS595" s="8"/>
      <c r="BT595" s="8"/>
      <c r="BU595" s="8"/>
      <c r="BV595" s="8">
        <v>1</v>
      </c>
      <c r="BW595" s="8">
        <v>1</v>
      </c>
      <c r="BX595" s="8"/>
      <c r="BZ595" t="s">
        <v>565</v>
      </c>
    </row>
    <row r="596" spans="1:78" ht="16.5" customHeight="1" x14ac:dyDescent="0.3">
      <c r="G596" s="14">
        <v>1493611</v>
      </c>
      <c r="H596" s="15" t="s">
        <v>512</v>
      </c>
      <c r="I596" s="14" t="s">
        <v>253</v>
      </c>
      <c r="J596" s="14">
        <v>1</v>
      </c>
      <c r="K596" s="14" t="s">
        <v>102</v>
      </c>
      <c r="L596" s="14" t="s">
        <v>115</v>
      </c>
      <c r="M596" s="14" t="s">
        <v>94</v>
      </c>
      <c r="N596" s="14" t="s">
        <v>116</v>
      </c>
      <c r="O596" s="13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</row>
    <row r="597" spans="1:78" ht="16.5" customHeight="1" x14ac:dyDescent="0.3">
      <c r="A597" t="s">
        <v>724</v>
      </c>
      <c r="B597" t="s">
        <v>846</v>
      </c>
      <c r="C597" t="s">
        <v>847</v>
      </c>
      <c r="D597" t="s">
        <v>849</v>
      </c>
      <c r="E597" t="s">
        <v>851</v>
      </c>
      <c r="F597" t="s">
        <v>851</v>
      </c>
      <c r="G597" s="5">
        <v>1493611</v>
      </c>
      <c r="H597" s="38" t="s">
        <v>513</v>
      </c>
      <c r="I597" s="5" t="s">
        <v>253</v>
      </c>
      <c r="J597" s="5">
        <v>1</v>
      </c>
      <c r="K597" s="5" t="s">
        <v>102</v>
      </c>
      <c r="L597" s="5" t="s">
        <v>115</v>
      </c>
      <c r="M597" s="5" t="s">
        <v>94</v>
      </c>
      <c r="N597" s="5" t="s">
        <v>116</v>
      </c>
      <c r="O597" s="4"/>
      <c r="P597" s="8">
        <f t="shared" ref="P597:P603" si="150">SUM(Q597,R597)</f>
        <v>1</v>
      </c>
      <c r="Q597" s="8">
        <f t="shared" ref="Q597:Q603" si="151">S597</f>
        <v>0</v>
      </c>
      <c r="R597" s="8">
        <f t="shared" ref="R597:R603" si="152">SUM(T597:BX597)</f>
        <v>1</v>
      </c>
      <c r="S597" s="8"/>
      <c r="T597" s="8"/>
      <c r="U597" s="8"/>
      <c r="V597" s="8"/>
      <c r="W597" s="8">
        <v>1</v>
      </c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Z597" t="s">
        <v>565</v>
      </c>
    </row>
    <row r="598" spans="1:78" ht="16.5" customHeight="1" x14ac:dyDescent="0.3">
      <c r="A598" t="s">
        <v>724</v>
      </c>
      <c r="B598" s="27" t="s">
        <v>846</v>
      </c>
      <c r="C598" s="27" t="s">
        <v>847</v>
      </c>
      <c r="D598" s="27" t="s">
        <v>849</v>
      </c>
      <c r="E598" s="27" t="s">
        <v>851</v>
      </c>
      <c r="F598" s="27" t="s">
        <v>852</v>
      </c>
      <c r="G598" s="5">
        <v>1493612</v>
      </c>
      <c r="H598" s="38" t="s">
        <v>514</v>
      </c>
      <c r="I598" s="5" t="s">
        <v>253</v>
      </c>
      <c r="J598" s="5">
        <v>1</v>
      </c>
      <c r="K598" s="5" t="s">
        <v>102</v>
      </c>
      <c r="L598" s="5" t="s">
        <v>109</v>
      </c>
      <c r="M598" s="5" t="s">
        <v>94</v>
      </c>
      <c r="N598" s="5" t="s">
        <v>119</v>
      </c>
      <c r="O598" s="4"/>
      <c r="P598" s="8">
        <f t="shared" si="150"/>
        <v>15</v>
      </c>
      <c r="Q598" s="8">
        <f t="shared" si="151"/>
        <v>0</v>
      </c>
      <c r="R598" s="8">
        <f t="shared" si="152"/>
        <v>15</v>
      </c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>
        <v>1</v>
      </c>
      <c r="AE598" s="8"/>
      <c r="AF598" s="8"/>
      <c r="AG598" s="8"/>
      <c r="AH598" s="8"/>
      <c r="AI598" s="8">
        <v>4</v>
      </c>
      <c r="AJ598" s="8"/>
      <c r="AK598" s="8"/>
      <c r="AL598" s="8"/>
      <c r="AM598" s="8"/>
      <c r="AN598" s="8">
        <v>6</v>
      </c>
      <c r="AO598" s="8"/>
      <c r="AP598" s="8"/>
      <c r="AQ598" s="8"/>
      <c r="AR598" s="8"/>
      <c r="AS598" s="8"/>
      <c r="AT598" s="8"/>
      <c r="AU598" s="8"/>
      <c r="AV598" s="8"/>
      <c r="AW598" s="8">
        <v>2</v>
      </c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>
        <v>1</v>
      </c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>
        <v>1</v>
      </c>
      <c r="BZ598" t="s">
        <v>565</v>
      </c>
    </row>
    <row r="599" spans="1:78" ht="16.5" customHeight="1" x14ac:dyDescent="0.3">
      <c r="A599" t="s">
        <v>724</v>
      </c>
      <c r="B599" t="s">
        <v>846</v>
      </c>
      <c r="C599" t="s">
        <v>847</v>
      </c>
      <c r="D599" t="s">
        <v>849</v>
      </c>
      <c r="E599" t="s">
        <v>851</v>
      </c>
      <c r="F599" t="s">
        <v>853</v>
      </c>
      <c r="G599" s="5">
        <v>1494601</v>
      </c>
      <c r="H599" s="38" t="s">
        <v>515</v>
      </c>
      <c r="I599" s="5" t="s">
        <v>253</v>
      </c>
      <c r="J599" s="5">
        <v>1</v>
      </c>
      <c r="K599" s="5" t="s">
        <v>102</v>
      </c>
      <c r="L599" s="5" t="s">
        <v>109</v>
      </c>
      <c r="M599" s="5" t="s">
        <v>94</v>
      </c>
      <c r="N599" s="5" t="s">
        <v>119</v>
      </c>
      <c r="O599" s="4"/>
      <c r="P599" s="8">
        <f t="shared" si="150"/>
        <v>19</v>
      </c>
      <c r="Q599" s="8">
        <f t="shared" si="151"/>
        <v>0</v>
      </c>
      <c r="R599" s="8">
        <f t="shared" si="152"/>
        <v>19</v>
      </c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>
        <v>1</v>
      </c>
      <c r="AD599" s="8"/>
      <c r="AE599" s="8"/>
      <c r="AF599" s="8"/>
      <c r="AG599" s="8"/>
      <c r="AH599" s="8"/>
      <c r="AI599" s="8">
        <v>5</v>
      </c>
      <c r="AJ599" s="8"/>
      <c r="AK599" s="8"/>
      <c r="AL599" s="8"/>
      <c r="AM599" s="8"/>
      <c r="AN599" s="8">
        <v>8</v>
      </c>
      <c r="AO599" s="8"/>
      <c r="AP599" s="8"/>
      <c r="AQ599" s="8"/>
      <c r="AR599" s="8"/>
      <c r="AS599" s="8"/>
      <c r="AT599" s="8"/>
      <c r="AU599" s="8"/>
      <c r="AV599" s="8"/>
      <c r="AW599" s="8">
        <v>4</v>
      </c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>
        <v>1</v>
      </c>
      <c r="BZ599" t="s">
        <v>565</v>
      </c>
    </row>
    <row r="600" spans="1:78" ht="16.5" customHeight="1" x14ac:dyDescent="0.3">
      <c r="A600" t="s">
        <v>724</v>
      </c>
      <c r="B600" s="27" t="s">
        <v>846</v>
      </c>
      <c r="C600" s="27" t="s">
        <v>847</v>
      </c>
      <c r="D600" s="27" t="s">
        <v>849</v>
      </c>
      <c r="E600" s="27" t="s">
        <v>851</v>
      </c>
      <c r="F600" s="27" t="s">
        <v>854</v>
      </c>
      <c r="G600" s="5">
        <v>1493613</v>
      </c>
      <c r="H600" s="38" t="s">
        <v>516</v>
      </c>
      <c r="I600" s="5" t="s">
        <v>253</v>
      </c>
      <c r="J600" s="5">
        <v>1</v>
      </c>
      <c r="K600" s="5" t="s">
        <v>102</v>
      </c>
      <c r="L600" s="5" t="s">
        <v>109</v>
      </c>
      <c r="M600" s="5" t="s">
        <v>94</v>
      </c>
      <c r="N600" s="5" t="s">
        <v>119</v>
      </c>
      <c r="O600" s="4"/>
      <c r="P600" s="8">
        <f t="shared" si="150"/>
        <v>17</v>
      </c>
      <c r="Q600" s="8">
        <f t="shared" si="151"/>
        <v>0</v>
      </c>
      <c r="R600" s="8">
        <f t="shared" si="152"/>
        <v>17</v>
      </c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>
        <v>1</v>
      </c>
      <c r="AE600" s="8"/>
      <c r="AF600" s="8"/>
      <c r="AG600" s="8"/>
      <c r="AH600" s="8"/>
      <c r="AI600" s="8">
        <v>7</v>
      </c>
      <c r="AJ600" s="8"/>
      <c r="AK600" s="8"/>
      <c r="AL600" s="8"/>
      <c r="AM600" s="8"/>
      <c r="AN600" s="8">
        <v>5</v>
      </c>
      <c r="AO600" s="8"/>
      <c r="AP600" s="8"/>
      <c r="AQ600" s="8"/>
      <c r="AR600" s="8"/>
      <c r="AS600" s="8"/>
      <c r="AT600" s="8"/>
      <c r="AU600" s="8"/>
      <c r="AV600" s="8"/>
      <c r="AW600" s="8">
        <v>2</v>
      </c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>
        <v>1</v>
      </c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>
        <v>1</v>
      </c>
      <c r="BZ600" t="s">
        <v>565</v>
      </c>
    </row>
    <row r="601" spans="1:78" ht="16.5" customHeight="1" x14ac:dyDescent="0.3">
      <c r="A601" t="s">
        <v>724</v>
      </c>
      <c r="B601" s="27" t="s">
        <v>846</v>
      </c>
      <c r="C601" s="27" t="s">
        <v>847</v>
      </c>
      <c r="D601" s="27" t="s">
        <v>849</v>
      </c>
      <c r="E601" s="27" t="s">
        <v>851</v>
      </c>
      <c r="F601" s="27" t="s">
        <v>855</v>
      </c>
      <c r="G601" s="5">
        <v>1493614</v>
      </c>
      <c r="H601" s="38" t="s">
        <v>517</v>
      </c>
      <c r="I601" s="5" t="s">
        <v>253</v>
      </c>
      <c r="J601" s="5">
        <v>1</v>
      </c>
      <c r="K601" s="5" t="s">
        <v>102</v>
      </c>
      <c r="L601" s="5" t="s">
        <v>109</v>
      </c>
      <c r="M601" s="5" t="s">
        <v>94</v>
      </c>
      <c r="N601" s="5" t="s">
        <v>119</v>
      </c>
      <c r="O601" s="4"/>
      <c r="P601" s="8">
        <f t="shared" si="150"/>
        <v>15</v>
      </c>
      <c r="Q601" s="8">
        <f t="shared" si="151"/>
        <v>0</v>
      </c>
      <c r="R601" s="8">
        <f t="shared" si="152"/>
        <v>15</v>
      </c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>
        <v>1</v>
      </c>
      <c r="AE601" s="8"/>
      <c r="AF601" s="8"/>
      <c r="AG601" s="8"/>
      <c r="AH601" s="8"/>
      <c r="AI601" s="8">
        <v>8</v>
      </c>
      <c r="AJ601" s="8"/>
      <c r="AK601" s="8"/>
      <c r="AL601" s="8"/>
      <c r="AM601" s="8"/>
      <c r="AN601" s="8">
        <v>4</v>
      </c>
      <c r="AO601" s="8"/>
      <c r="AP601" s="8"/>
      <c r="AQ601" s="8"/>
      <c r="AR601" s="8"/>
      <c r="AS601" s="8"/>
      <c r="AT601" s="8"/>
      <c r="AU601" s="8"/>
      <c r="AV601" s="8"/>
      <c r="AW601" s="8">
        <v>1</v>
      </c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>
        <v>1</v>
      </c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Z601" t="s">
        <v>565</v>
      </c>
    </row>
    <row r="602" spans="1:78" ht="16.5" customHeight="1" x14ac:dyDescent="0.3">
      <c r="A602" t="s">
        <v>724</v>
      </c>
      <c r="B602" s="27" t="s">
        <v>846</v>
      </c>
      <c r="C602" s="27" t="s">
        <v>847</v>
      </c>
      <c r="D602" s="27" t="s">
        <v>849</v>
      </c>
      <c r="E602" s="27" t="s">
        <v>851</v>
      </c>
      <c r="F602" s="27" t="s">
        <v>856</v>
      </c>
      <c r="G602" s="5">
        <v>1493615</v>
      </c>
      <c r="H602" s="38" t="s">
        <v>518</v>
      </c>
      <c r="I602" s="5" t="s">
        <v>253</v>
      </c>
      <c r="J602" s="5">
        <v>1</v>
      </c>
      <c r="K602" s="5" t="s">
        <v>102</v>
      </c>
      <c r="L602" s="5" t="s">
        <v>109</v>
      </c>
      <c r="M602" s="5" t="s">
        <v>94</v>
      </c>
      <c r="N602" s="5" t="s">
        <v>113</v>
      </c>
      <c r="O602" s="4"/>
      <c r="P602" s="8">
        <f t="shared" si="150"/>
        <v>12</v>
      </c>
      <c r="Q602" s="8">
        <f t="shared" si="151"/>
        <v>0</v>
      </c>
      <c r="R602" s="8">
        <f t="shared" si="152"/>
        <v>12</v>
      </c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>
        <v>1</v>
      </c>
      <c r="AF602" s="8"/>
      <c r="AG602" s="8"/>
      <c r="AH602" s="8"/>
      <c r="AI602" s="8">
        <v>1</v>
      </c>
      <c r="AJ602" s="8"/>
      <c r="AK602" s="8"/>
      <c r="AL602" s="8"/>
      <c r="AM602" s="8"/>
      <c r="AN602" s="8">
        <v>6</v>
      </c>
      <c r="AO602" s="8"/>
      <c r="AP602" s="8"/>
      <c r="AQ602" s="8"/>
      <c r="AR602" s="8"/>
      <c r="AS602" s="8"/>
      <c r="AT602" s="8"/>
      <c r="AU602" s="8"/>
      <c r="AV602" s="8"/>
      <c r="AW602" s="8">
        <v>3</v>
      </c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>
        <v>1</v>
      </c>
      <c r="BZ602" t="s">
        <v>565</v>
      </c>
    </row>
    <row r="603" spans="1:78" ht="16.5" customHeight="1" x14ac:dyDescent="0.3">
      <c r="A603" t="s">
        <v>724</v>
      </c>
      <c r="B603" t="s">
        <v>846</v>
      </c>
      <c r="C603" t="s">
        <v>847</v>
      </c>
      <c r="D603" t="s">
        <v>847</v>
      </c>
      <c r="E603" t="s">
        <v>848</v>
      </c>
      <c r="F603" t="s">
        <v>857</v>
      </c>
      <c r="G603" s="5">
        <v>1492964</v>
      </c>
      <c r="H603" s="38" t="s">
        <v>519</v>
      </c>
      <c r="I603" s="5" t="s">
        <v>253</v>
      </c>
      <c r="J603" s="5">
        <v>1</v>
      </c>
      <c r="K603" s="5" t="s">
        <v>220</v>
      </c>
      <c r="L603" s="5" t="s">
        <v>220</v>
      </c>
      <c r="M603" s="5" t="s">
        <v>94</v>
      </c>
      <c r="N603" s="5" t="s">
        <v>506</v>
      </c>
      <c r="O603" s="4"/>
      <c r="P603" s="8">
        <f t="shared" si="150"/>
        <v>0</v>
      </c>
      <c r="Q603" s="8">
        <f t="shared" si="151"/>
        <v>0</v>
      </c>
      <c r="R603" s="8">
        <f t="shared" si="152"/>
        <v>0</v>
      </c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Z603" t="s">
        <v>565</v>
      </c>
    </row>
    <row r="604" spans="1:78" ht="16.5" customHeight="1" x14ac:dyDescent="0.3">
      <c r="G604" s="10">
        <v>1492154</v>
      </c>
      <c r="H604" s="11" t="s">
        <v>520</v>
      </c>
      <c r="I604" s="10" t="s">
        <v>253</v>
      </c>
      <c r="J604" s="10">
        <v>1</v>
      </c>
      <c r="K604" s="10" t="s">
        <v>502</v>
      </c>
      <c r="L604" s="10" t="s">
        <v>503</v>
      </c>
      <c r="M604" s="10" t="s">
        <v>94</v>
      </c>
      <c r="N604" s="10" t="s">
        <v>221</v>
      </c>
      <c r="O604" s="9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</row>
    <row r="605" spans="1:78" ht="16.5" customHeight="1" x14ac:dyDescent="0.3">
      <c r="A605" t="s">
        <v>724</v>
      </c>
      <c r="B605" s="27" t="s">
        <v>846</v>
      </c>
      <c r="C605" s="27" t="s">
        <v>858</v>
      </c>
      <c r="D605" s="27" t="s">
        <v>859</v>
      </c>
      <c r="E605" s="27" t="s">
        <v>859</v>
      </c>
      <c r="F605" s="27" t="s">
        <v>859</v>
      </c>
      <c r="G605" s="5">
        <v>1492154</v>
      </c>
      <c r="H605" s="38" t="s">
        <v>521</v>
      </c>
      <c r="I605" s="5" t="s">
        <v>253</v>
      </c>
      <c r="J605" s="5">
        <v>1</v>
      </c>
      <c r="K605" s="5" t="s">
        <v>502</v>
      </c>
      <c r="L605" s="5" t="s">
        <v>503</v>
      </c>
      <c r="M605" s="5" t="s">
        <v>94</v>
      </c>
      <c r="N605" s="5" t="s">
        <v>221</v>
      </c>
      <c r="O605" s="4"/>
      <c r="P605" s="8">
        <f t="shared" ref="P605:P606" si="153">SUM(Q605,R605)</f>
        <v>1</v>
      </c>
      <c r="Q605" s="8">
        <f t="shared" ref="Q605:Q606" si="154">S605</f>
        <v>0</v>
      </c>
      <c r="R605" s="8">
        <f t="shared" ref="R605:R606" si="155">SUM(T605:BX605)</f>
        <v>1</v>
      </c>
      <c r="S605" s="8"/>
      <c r="T605" s="8"/>
      <c r="U605" s="8"/>
      <c r="V605" s="8"/>
      <c r="W605" s="8"/>
      <c r="X605" s="8"/>
      <c r="Y605" s="8">
        <v>1</v>
      </c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Z605" t="s">
        <v>565</v>
      </c>
    </row>
    <row r="606" spans="1:78" ht="16.5" customHeight="1" x14ac:dyDescent="0.3">
      <c r="A606" t="s">
        <v>724</v>
      </c>
      <c r="B606" s="27" t="s">
        <v>846</v>
      </c>
      <c r="C606" s="27" t="s">
        <v>858</v>
      </c>
      <c r="D606" s="27" t="s">
        <v>859</v>
      </c>
      <c r="E606" s="27" t="s">
        <v>848</v>
      </c>
      <c r="F606" s="27" t="s">
        <v>848</v>
      </c>
      <c r="G606" s="5">
        <v>1492946</v>
      </c>
      <c r="H606" s="38" t="s">
        <v>505</v>
      </c>
      <c r="I606" s="5" t="s">
        <v>253</v>
      </c>
      <c r="J606" s="5">
        <v>1</v>
      </c>
      <c r="K606" s="5" t="s">
        <v>220</v>
      </c>
      <c r="L606" s="5" t="s">
        <v>220</v>
      </c>
      <c r="M606" s="5" t="s">
        <v>94</v>
      </c>
      <c r="N606" s="5" t="s">
        <v>221</v>
      </c>
      <c r="O606" s="4"/>
      <c r="P606" s="8">
        <f t="shared" si="153"/>
        <v>1</v>
      </c>
      <c r="Q606" s="8">
        <f t="shared" si="154"/>
        <v>0</v>
      </c>
      <c r="R606" s="8">
        <f t="shared" si="155"/>
        <v>1</v>
      </c>
      <c r="S606" s="8"/>
      <c r="T606" s="8"/>
      <c r="U606" s="8"/>
      <c r="V606" s="8"/>
      <c r="W606" s="8"/>
      <c r="X606" s="8"/>
      <c r="Y606" s="8">
        <v>1</v>
      </c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Z606" t="s">
        <v>565</v>
      </c>
    </row>
    <row r="607" spans="1:78" ht="16.5" customHeight="1" x14ac:dyDescent="0.3">
      <c r="G607" s="14">
        <v>1492155</v>
      </c>
      <c r="H607" s="15" t="s">
        <v>522</v>
      </c>
      <c r="I607" s="14" t="s">
        <v>253</v>
      </c>
      <c r="J607" s="14">
        <v>1</v>
      </c>
      <c r="K607" s="14" t="s">
        <v>508</v>
      </c>
      <c r="L607" s="14" t="s">
        <v>509</v>
      </c>
      <c r="M607" s="14" t="s">
        <v>94</v>
      </c>
      <c r="N607" s="14" t="s">
        <v>110</v>
      </c>
      <c r="O607" s="13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</row>
    <row r="608" spans="1:78" ht="16.5" customHeight="1" x14ac:dyDescent="0.3">
      <c r="A608" t="s">
        <v>724</v>
      </c>
      <c r="B608" s="27" t="s">
        <v>846</v>
      </c>
      <c r="C608" s="27" t="s">
        <v>858</v>
      </c>
      <c r="D608" s="27" t="s">
        <v>859</v>
      </c>
      <c r="E608" s="27" t="s">
        <v>860</v>
      </c>
      <c r="F608" s="27" t="s">
        <v>860</v>
      </c>
      <c r="G608" s="5">
        <v>1492155</v>
      </c>
      <c r="H608" s="38" t="s">
        <v>523</v>
      </c>
      <c r="I608" s="5" t="s">
        <v>253</v>
      </c>
      <c r="J608" s="5">
        <v>1</v>
      </c>
      <c r="K608" s="5" t="s">
        <v>508</v>
      </c>
      <c r="L608" s="5" t="s">
        <v>509</v>
      </c>
      <c r="M608" s="5" t="s">
        <v>94</v>
      </c>
      <c r="N608" s="5" t="s">
        <v>110</v>
      </c>
      <c r="O608" s="4"/>
      <c r="P608" s="8">
        <f t="shared" ref="P608:P610" si="156">SUM(Q608,R608)</f>
        <v>1</v>
      </c>
      <c r="Q608" s="8">
        <f t="shared" ref="Q608:Q610" si="157">S608</f>
        <v>0</v>
      </c>
      <c r="R608" s="8">
        <f t="shared" ref="R608:R610" si="158">SUM(T608:BX608)</f>
        <v>1</v>
      </c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>
        <v>1</v>
      </c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Z608" t="s">
        <v>565</v>
      </c>
    </row>
    <row r="609" spans="1:78" ht="16.5" customHeight="1" x14ac:dyDescent="0.3">
      <c r="A609" t="s">
        <v>724</v>
      </c>
      <c r="B609" s="27" t="s">
        <v>846</v>
      </c>
      <c r="C609" s="27" t="s">
        <v>858</v>
      </c>
      <c r="D609" s="27" t="s">
        <v>859</v>
      </c>
      <c r="E609" s="27" t="s">
        <v>860</v>
      </c>
      <c r="F609" s="27" t="s">
        <v>852</v>
      </c>
      <c r="G609" s="5">
        <v>1492156</v>
      </c>
      <c r="H609" s="38" t="s">
        <v>524</v>
      </c>
      <c r="I609" s="5" t="s">
        <v>253</v>
      </c>
      <c r="J609" s="5">
        <v>1</v>
      </c>
      <c r="K609" s="5" t="s">
        <v>102</v>
      </c>
      <c r="L609" s="5" t="s">
        <v>109</v>
      </c>
      <c r="M609" s="5" t="s">
        <v>94</v>
      </c>
      <c r="N609" s="5" t="s">
        <v>48</v>
      </c>
      <c r="O609" s="4"/>
      <c r="P609" s="8">
        <f t="shared" si="156"/>
        <v>8</v>
      </c>
      <c r="Q609" s="8">
        <f t="shared" si="157"/>
        <v>0</v>
      </c>
      <c r="R609" s="8">
        <f t="shared" si="158"/>
        <v>8</v>
      </c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>
        <v>1</v>
      </c>
      <c r="AJ609" s="8"/>
      <c r="AK609" s="8"/>
      <c r="AL609" s="8"/>
      <c r="AM609" s="8"/>
      <c r="AN609" s="8">
        <v>2</v>
      </c>
      <c r="AO609" s="8"/>
      <c r="AP609" s="8"/>
      <c r="AQ609" s="8"/>
      <c r="AR609" s="8"/>
      <c r="AS609" s="8"/>
      <c r="AT609" s="8"/>
      <c r="AU609" s="8"/>
      <c r="AV609" s="8"/>
      <c r="AW609" s="8">
        <v>1</v>
      </c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>
        <v>2</v>
      </c>
      <c r="BI609" s="8"/>
      <c r="BJ609" s="8"/>
      <c r="BK609" s="8"/>
      <c r="BL609" s="8"/>
      <c r="BM609" s="8"/>
      <c r="BN609" s="8"/>
      <c r="BO609" s="8">
        <v>1</v>
      </c>
      <c r="BP609" s="8"/>
      <c r="BQ609" s="8"/>
      <c r="BR609" s="8"/>
      <c r="BS609" s="8"/>
      <c r="BT609" s="8"/>
      <c r="BU609" s="8"/>
      <c r="BV609" s="8">
        <v>1</v>
      </c>
      <c r="BW609" s="8"/>
      <c r="BX609" s="8"/>
      <c r="BZ609" t="s">
        <v>565</v>
      </c>
    </row>
    <row r="610" spans="1:78" ht="16.5" customHeight="1" x14ac:dyDescent="0.3">
      <c r="A610" t="s">
        <v>724</v>
      </c>
      <c r="B610" s="27" t="s">
        <v>846</v>
      </c>
      <c r="C610" s="27" t="s">
        <v>858</v>
      </c>
      <c r="D610" s="27" t="s">
        <v>859</v>
      </c>
      <c r="E610" s="27" t="s">
        <v>860</v>
      </c>
      <c r="F610" s="27" t="s">
        <v>861</v>
      </c>
      <c r="G610" s="5">
        <v>1492157</v>
      </c>
      <c r="H610" s="38" t="s">
        <v>525</v>
      </c>
      <c r="I610" s="5" t="s">
        <v>253</v>
      </c>
      <c r="J610" s="5">
        <v>1</v>
      </c>
      <c r="K610" s="5" t="s">
        <v>102</v>
      </c>
      <c r="L610" s="5" t="s">
        <v>109</v>
      </c>
      <c r="M610" s="5" t="s">
        <v>94</v>
      </c>
      <c r="N610" s="5" t="s">
        <v>48</v>
      </c>
      <c r="O610" s="4"/>
      <c r="P610" s="8">
        <f t="shared" si="156"/>
        <v>14</v>
      </c>
      <c r="Q610" s="8">
        <f t="shared" si="157"/>
        <v>0</v>
      </c>
      <c r="R610" s="8">
        <f t="shared" si="158"/>
        <v>14</v>
      </c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>
        <v>1</v>
      </c>
      <c r="AJ610" s="8"/>
      <c r="AK610" s="8"/>
      <c r="AL610" s="8"/>
      <c r="AM610" s="8"/>
      <c r="AN610" s="8">
        <v>6</v>
      </c>
      <c r="AO610" s="8"/>
      <c r="AP610" s="8"/>
      <c r="AQ610" s="8"/>
      <c r="AR610" s="8"/>
      <c r="AS610" s="8"/>
      <c r="AT610" s="8"/>
      <c r="AU610" s="8"/>
      <c r="AV610" s="8"/>
      <c r="AW610" s="8">
        <v>6</v>
      </c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>
        <v>1</v>
      </c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Z610" t="s">
        <v>565</v>
      </c>
    </row>
    <row r="611" spans="1:78" ht="16.5" customHeight="1" x14ac:dyDescent="0.3">
      <c r="G611" s="10">
        <v>1492140</v>
      </c>
      <c r="H611" s="11" t="s">
        <v>526</v>
      </c>
      <c r="I611" s="10" t="s">
        <v>253</v>
      </c>
      <c r="J611" s="10">
        <v>1</v>
      </c>
      <c r="K611" s="10" t="s">
        <v>502</v>
      </c>
      <c r="L611" s="10" t="s">
        <v>503</v>
      </c>
      <c r="M611" s="10" t="s">
        <v>94</v>
      </c>
      <c r="N611" s="10" t="s">
        <v>506</v>
      </c>
      <c r="O611" s="9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</row>
    <row r="612" spans="1:78" ht="16.5" customHeight="1" x14ac:dyDescent="0.3">
      <c r="A612" t="s">
        <v>724</v>
      </c>
      <c r="B612" s="27" t="s">
        <v>846</v>
      </c>
      <c r="C612" s="27" t="s">
        <v>858</v>
      </c>
      <c r="D612" s="27" t="s">
        <v>862</v>
      </c>
      <c r="E612" s="27" t="s">
        <v>862</v>
      </c>
      <c r="F612" s="27" t="s">
        <v>862</v>
      </c>
      <c r="G612" s="5">
        <v>1492140</v>
      </c>
      <c r="H612" s="38" t="s">
        <v>527</v>
      </c>
      <c r="I612" s="5" t="s">
        <v>253</v>
      </c>
      <c r="J612" s="5">
        <v>1</v>
      </c>
      <c r="K612" s="5" t="s">
        <v>502</v>
      </c>
      <c r="L612" s="5" t="s">
        <v>503</v>
      </c>
      <c r="M612" s="5" t="s">
        <v>94</v>
      </c>
      <c r="N612" s="5" t="s">
        <v>506</v>
      </c>
      <c r="O612" s="4"/>
      <c r="P612" s="8">
        <f t="shared" ref="P612:P613" si="159">SUM(Q612,R612)</f>
        <v>1</v>
      </c>
      <c r="Q612" s="8">
        <f t="shared" ref="Q612:Q613" si="160">S612</f>
        <v>0</v>
      </c>
      <c r="R612" s="8">
        <f t="shared" ref="R612:R613" si="161">SUM(T612:BX612)</f>
        <v>1</v>
      </c>
      <c r="S612" s="8"/>
      <c r="T612" s="8">
        <v>1</v>
      </c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Z612" t="s">
        <v>565</v>
      </c>
    </row>
    <row r="613" spans="1:78" ht="16.5" customHeight="1" x14ac:dyDescent="0.3">
      <c r="A613" t="s">
        <v>724</v>
      </c>
      <c r="B613" s="27" t="s">
        <v>846</v>
      </c>
      <c r="C613" s="27" t="s">
        <v>858</v>
      </c>
      <c r="D613" s="27" t="s">
        <v>862</v>
      </c>
      <c r="E613" s="27" t="s">
        <v>848</v>
      </c>
      <c r="F613" s="27" t="s">
        <v>848</v>
      </c>
      <c r="G613" s="5">
        <v>1492948</v>
      </c>
      <c r="H613" s="38" t="s">
        <v>505</v>
      </c>
      <c r="I613" s="5" t="s">
        <v>253</v>
      </c>
      <c r="J613" s="5">
        <v>1</v>
      </c>
      <c r="K613" s="5" t="s">
        <v>220</v>
      </c>
      <c r="L613" s="5" t="s">
        <v>220</v>
      </c>
      <c r="M613" s="5" t="s">
        <v>94</v>
      </c>
      <c r="N613" s="5" t="s">
        <v>221</v>
      </c>
      <c r="O613" s="4"/>
      <c r="P613" s="8">
        <f t="shared" si="159"/>
        <v>1</v>
      </c>
      <c r="Q613" s="8">
        <f t="shared" si="160"/>
        <v>0</v>
      </c>
      <c r="R613" s="8">
        <f t="shared" si="161"/>
        <v>1</v>
      </c>
      <c r="S613" s="8"/>
      <c r="T613" s="8"/>
      <c r="U613" s="8"/>
      <c r="V613" s="8"/>
      <c r="W613" s="8"/>
      <c r="X613" s="8">
        <v>1</v>
      </c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Z613" t="s">
        <v>565</v>
      </c>
    </row>
    <row r="614" spans="1:78" ht="16.5" customHeight="1" x14ac:dyDescent="0.3">
      <c r="G614" s="14">
        <v>1492141</v>
      </c>
      <c r="H614" s="15" t="s">
        <v>522</v>
      </c>
      <c r="I614" s="14" t="s">
        <v>253</v>
      </c>
      <c r="J614" s="14">
        <v>1</v>
      </c>
      <c r="K614" s="14" t="s">
        <v>508</v>
      </c>
      <c r="L614" s="14" t="s">
        <v>509</v>
      </c>
      <c r="M614" s="14" t="s">
        <v>94</v>
      </c>
      <c r="N614" s="14" t="s">
        <v>119</v>
      </c>
      <c r="O614" s="13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</row>
    <row r="615" spans="1:78" ht="16.5" customHeight="1" x14ac:dyDescent="0.3">
      <c r="A615" t="s">
        <v>724</v>
      </c>
      <c r="B615" s="27" t="s">
        <v>846</v>
      </c>
      <c r="C615" s="27" t="s">
        <v>858</v>
      </c>
      <c r="D615" s="27" t="s">
        <v>862</v>
      </c>
      <c r="E615" s="27" t="s">
        <v>860</v>
      </c>
      <c r="F615" s="27" t="s">
        <v>860</v>
      </c>
      <c r="G615" s="5">
        <v>1492141</v>
      </c>
      <c r="H615" s="38" t="s">
        <v>523</v>
      </c>
      <c r="I615" s="5" t="s">
        <v>253</v>
      </c>
      <c r="J615" s="5">
        <v>1</v>
      </c>
      <c r="K615" s="5" t="s">
        <v>508</v>
      </c>
      <c r="L615" s="5" t="s">
        <v>509</v>
      </c>
      <c r="M615" s="5" t="s">
        <v>94</v>
      </c>
      <c r="N615" s="5" t="s">
        <v>119</v>
      </c>
      <c r="O615" s="4"/>
      <c r="P615" s="8">
        <f t="shared" ref="P615:P622" si="162">SUM(Q615,R615)</f>
        <v>1</v>
      </c>
      <c r="Q615" s="8">
        <f t="shared" ref="Q615:Q622" si="163">S615</f>
        <v>0</v>
      </c>
      <c r="R615" s="8">
        <f t="shared" ref="R615:R622" si="164">SUM(T615:BX615)</f>
        <v>1</v>
      </c>
      <c r="S615" s="8"/>
      <c r="T615" s="8"/>
      <c r="U615" s="8"/>
      <c r="V615" s="8"/>
      <c r="W615" s="8"/>
      <c r="X615" s="8"/>
      <c r="Y615" s="8"/>
      <c r="Z615" s="8"/>
      <c r="AA615" s="8">
        <v>1</v>
      </c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Z615" t="s">
        <v>565</v>
      </c>
    </row>
    <row r="616" spans="1:78" ht="16.5" customHeight="1" x14ac:dyDescent="0.3">
      <c r="A616" t="s">
        <v>724</v>
      </c>
      <c r="B616" s="27" t="s">
        <v>846</v>
      </c>
      <c r="C616" s="27" t="s">
        <v>858</v>
      </c>
      <c r="D616" s="27" t="s">
        <v>862</v>
      </c>
      <c r="E616" s="27" t="s">
        <v>860</v>
      </c>
      <c r="F616" s="27" t="s">
        <v>852</v>
      </c>
      <c r="G616" s="5">
        <v>1492142</v>
      </c>
      <c r="H616" s="38" t="s">
        <v>524</v>
      </c>
      <c r="I616" s="5" t="s">
        <v>253</v>
      </c>
      <c r="J616" s="5">
        <v>1</v>
      </c>
      <c r="K616" s="5" t="s">
        <v>102</v>
      </c>
      <c r="L616" s="5" t="s">
        <v>109</v>
      </c>
      <c r="M616" s="5" t="s">
        <v>94</v>
      </c>
      <c r="N616" s="5" t="s">
        <v>48</v>
      </c>
      <c r="O616" s="4"/>
      <c r="P616" s="8">
        <f t="shared" si="162"/>
        <v>16</v>
      </c>
      <c r="Q616" s="8">
        <f t="shared" si="163"/>
        <v>0</v>
      </c>
      <c r="R616" s="8">
        <f t="shared" si="164"/>
        <v>16</v>
      </c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>
        <v>1</v>
      </c>
      <c r="AJ616" s="8"/>
      <c r="AK616" s="8"/>
      <c r="AL616" s="8"/>
      <c r="AM616" s="8"/>
      <c r="AN616" s="8">
        <v>7</v>
      </c>
      <c r="AO616" s="8"/>
      <c r="AP616" s="8"/>
      <c r="AQ616" s="8"/>
      <c r="AR616" s="8"/>
      <c r="AS616" s="8"/>
      <c r="AT616" s="8"/>
      <c r="AU616" s="8"/>
      <c r="AV616" s="8"/>
      <c r="AW616" s="8">
        <v>3</v>
      </c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>
        <v>1</v>
      </c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>
        <v>2</v>
      </c>
      <c r="BU616" s="8">
        <v>1</v>
      </c>
      <c r="BV616" s="8">
        <v>1</v>
      </c>
      <c r="BW616" s="8"/>
      <c r="BX616" s="8"/>
      <c r="BZ616" t="s">
        <v>565</v>
      </c>
    </row>
    <row r="617" spans="1:78" ht="16.5" customHeight="1" x14ac:dyDescent="0.3">
      <c r="A617" t="s">
        <v>724</v>
      </c>
      <c r="B617" s="27" t="s">
        <v>846</v>
      </c>
      <c r="C617" s="27" t="s">
        <v>858</v>
      </c>
      <c r="D617" s="27" t="s">
        <v>862</v>
      </c>
      <c r="E617" s="27" t="s">
        <v>860</v>
      </c>
      <c r="F617" s="27" t="s">
        <v>853</v>
      </c>
      <c r="G617" s="5">
        <v>1494602</v>
      </c>
      <c r="H617" s="38" t="s">
        <v>528</v>
      </c>
      <c r="I617" s="5" t="s">
        <v>253</v>
      </c>
      <c r="J617" s="5">
        <v>1</v>
      </c>
      <c r="K617" s="5" t="s">
        <v>102</v>
      </c>
      <c r="L617" s="5" t="s">
        <v>109</v>
      </c>
      <c r="M617" s="5" t="s">
        <v>94</v>
      </c>
      <c r="N617" s="5" t="s">
        <v>48</v>
      </c>
      <c r="O617" s="4"/>
      <c r="P617" s="8">
        <f t="shared" si="162"/>
        <v>11</v>
      </c>
      <c r="Q617" s="8">
        <f t="shared" si="163"/>
        <v>0</v>
      </c>
      <c r="R617" s="8">
        <f t="shared" si="164"/>
        <v>11</v>
      </c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>
        <v>1</v>
      </c>
      <c r="AK617" s="8"/>
      <c r="AL617" s="8"/>
      <c r="AM617" s="8"/>
      <c r="AN617" s="8">
        <v>4</v>
      </c>
      <c r="AO617" s="8"/>
      <c r="AP617" s="8"/>
      <c r="AQ617" s="8"/>
      <c r="AR617" s="8"/>
      <c r="AS617" s="8"/>
      <c r="AT617" s="8"/>
      <c r="AU617" s="8"/>
      <c r="AV617" s="8"/>
      <c r="AW617" s="8">
        <v>6</v>
      </c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Z617" t="s">
        <v>565</v>
      </c>
    </row>
    <row r="618" spans="1:78" ht="16.5" customHeight="1" x14ac:dyDescent="0.3">
      <c r="A618" t="s">
        <v>724</v>
      </c>
      <c r="B618" s="27" t="s">
        <v>846</v>
      </c>
      <c r="C618" s="27" t="s">
        <v>858</v>
      </c>
      <c r="D618" s="27" t="s">
        <v>862</v>
      </c>
      <c r="E618" s="27" t="s">
        <v>860</v>
      </c>
      <c r="F618" s="27" t="s">
        <v>854</v>
      </c>
      <c r="G618" s="5">
        <v>1493616</v>
      </c>
      <c r="H618" s="38" t="s">
        <v>529</v>
      </c>
      <c r="I618" s="5" t="s">
        <v>253</v>
      </c>
      <c r="J618" s="5">
        <v>1</v>
      </c>
      <c r="K618" s="5" t="s">
        <v>102</v>
      </c>
      <c r="L618" s="5" t="s">
        <v>109</v>
      </c>
      <c r="M618" s="5" t="s">
        <v>94</v>
      </c>
      <c r="N618" s="5" t="s">
        <v>48</v>
      </c>
      <c r="O618" s="4"/>
      <c r="P618" s="8">
        <f t="shared" si="162"/>
        <v>13</v>
      </c>
      <c r="Q618" s="8">
        <f t="shared" si="163"/>
        <v>0</v>
      </c>
      <c r="R618" s="8">
        <f t="shared" si="164"/>
        <v>13</v>
      </c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>
        <v>1</v>
      </c>
      <c r="AJ618" s="8"/>
      <c r="AK618" s="8"/>
      <c r="AL618" s="8"/>
      <c r="AM618" s="8"/>
      <c r="AN618" s="8">
        <v>6</v>
      </c>
      <c r="AO618" s="8"/>
      <c r="AP618" s="8"/>
      <c r="AQ618" s="8"/>
      <c r="AR618" s="8"/>
      <c r="AS618" s="8"/>
      <c r="AT618" s="8"/>
      <c r="AU618" s="8"/>
      <c r="AV618" s="8"/>
      <c r="AW618" s="8">
        <v>5</v>
      </c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>
        <v>1</v>
      </c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Z618" t="s">
        <v>565</v>
      </c>
    </row>
    <row r="619" spans="1:78" ht="16.5" customHeight="1" x14ac:dyDescent="0.3">
      <c r="A619" t="s">
        <v>724</v>
      </c>
      <c r="B619" s="27" t="s">
        <v>846</v>
      </c>
      <c r="C619" s="27" t="s">
        <v>858</v>
      </c>
      <c r="D619" s="27" t="s">
        <v>862</v>
      </c>
      <c r="E619" s="27" t="s">
        <v>860</v>
      </c>
      <c r="F619" s="27" t="s">
        <v>855</v>
      </c>
      <c r="G619" s="5">
        <v>1493617</v>
      </c>
      <c r="H619" s="38" t="s">
        <v>530</v>
      </c>
      <c r="I619" s="5" t="s">
        <v>253</v>
      </c>
      <c r="J619" s="5">
        <v>1</v>
      </c>
      <c r="K619" s="5" t="s">
        <v>102</v>
      </c>
      <c r="L619" s="5" t="s">
        <v>109</v>
      </c>
      <c r="M619" s="5" t="s">
        <v>94</v>
      </c>
      <c r="N619" s="5" t="s">
        <v>48</v>
      </c>
      <c r="O619" s="4"/>
      <c r="P619" s="8">
        <f t="shared" si="162"/>
        <v>14</v>
      </c>
      <c r="Q619" s="8">
        <f t="shared" si="163"/>
        <v>0</v>
      </c>
      <c r="R619" s="8">
        <f t="shared" si="164"/>
        <v>14</v>
      </c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>
        <v>1</v>
      </c>
      <c r="AJ619" s="8"/>
      <c r="AK619" s="8"/>
      <c r="AL619" s="8"/>
      <c r="AM619" s="8"/>
      <c r="AN619" s="8">
        <v>7</v>
      </c>
      <c r="AO619" s="8"/>
      <c r="AP619" s="8"/>
      <c r="AQ619" s="8"/>
      <c r="AR619" s="8"/>
      <c r="AS619" s="8"/>
      <c r="AT619" s="8"/>
      <c r="AU619" s="8"/>
      <c r="AV619" s="8"/>
      <c r="AW619" s="8">
        <v>5</v>
      </c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>
        <v>1</v>
      </c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Z619" t="s">
        <v>565</v>
      </c>
    </row>
    <row r="620" spans="1:78" ht="16.5" customHeight="1" x14ac:dyDescent="0.3">
      <c r="A620" t="s">
        <v>724</v>
      </c>
      <c r="B620" s="27" t="s">
        <v>846</v>
      </c>
      <c r="C620" s="27" t="s">
        <v>858</v>
      </c>
      <c r="D620" s="27" t="s">
        <v>862</v>
      </c>
      <c r="E620" s="27" t="s">
        <v>860</v>
      </c>
      <c r="F620" s="27" t="s">
        <v>863</v>
      </c>
      <c r="G620" s="5">
        <v>1492873</v>
      </c>
      <c r="H620" s="38" t="s">
        <v>531</v>
      </c>
      <c r="I620" s="5" t="s">
        <v>253</v>
      </c>
      <c r="J620" s="5">
        <v>1</v>
      </c>
      <c r="K620" s="5" t="s">
        <v>102</v>
      </c>
      <c r="L620" s="5" t="s">
        <v>109</v>
      </c>
      <c r="M620" s="5" t="s">
        <v>94</v>
      </c>
      <c r="N620" s="5" t="s">
        <v>48</v>
      </c>
      <c r="O620" s="4"/>
      <c r="P620" s="8">
        <f t="shared" si="162"/>
        <v>14</v>
      </c>
      <c r="Q620" s="8">
        <f t="shared" si="163"/>
        <v>0</v>
      </c>
      <c r="R620" s="8">
        <f t="shared" si="164"/>
        <v>14</v>
      </c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>
        <v>1</v>
      </c>
      <c r="AJ620" s="8"/>
      <c r="AK620" s="8"/>
      <c r="AL620" s="8"/>
      <c r="AM620" s="8"/>
      <c r="AN620" s="8">
        <v>7</v>
      </c>
      <c r="AO620" s="8"/>
      <c r="AP620" s="8"/>
      <c r="AQ620" s="8"/>
      <c r="AR620" s="8"/>
      <c r="AS620" s="8"/>
      <c r="AT620" s="8"/>
      <c r="AU620" s="8"/>
      <c r="AV620" s="8"/>
      <c r="AW620" s="8">
        <v>6</v>
      </c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Z620" t="s">
        <v>565</v>
      </c>
    </row>
    <row r="621" spans="1:78" ht="16.5" customHeight="1" x14ac:dyDescent="0.3">
      <c r="A621" t="s">
        <v>724</v>
      </c>
      <c r="B621" t="s">
        <v>846</v>
      </c>
      <c r="C621" s="27" t="s">
        <v>858</v>
      </c>
      <c r="D621" s="27" t="s">
        <v>862</v>
      </c>
      <c r="E621" t="s">
        <v>848</v>
      </c>
      <c r="F621" t="s">
        <v>857</v>
      </c>
      <c r="G621" s="5">
        <v>1492965</v>
      </c>
      <c r="H621" s="38" t="s">
        <v>519</v>
      </c>
      <c r="I621" s="5" t="s">
        <v>253</v>
      </c>
      <c r="J621" s="5">
        <v>1</v>
      </c>
      <c r="K621" s="5" t="s">
        <v>220</v>
      </c>
      <c r="L621" s="5" t="s">
        <v>220</v>
      </c>
      <c r="M621" s="5" t="s">
        <v>94</v>
      </c>
      <c r="N621" s="5" t="s">
        <v>221</v>
      </c>
      <c r="O621" s="4"/>
      <c r="P621" s="8">
        <f t="shared" si="162"/>
        <v>1</v>
      </c>
      <c r="Q621" s="8">
        <f t="shared" si="163"/>
        <v>0</v>
      </c>
      <c r="R621" s="8">
        <f t="shared" si="164"/>
        <v>1</v>
      </c>
      <c r="S621" s="8"/>
      <c r="T621" s="8"/>
      <c r="U621" s="8"/>
      <c r="V621" s="8"/>
      <c r="W621" s="8"/>
      <c r="X621" s="8">
        <v>1</v>
      </c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Z621" t="s">
        <v>565</v>
      </c>
    </row>
    <row r="622" spans="1:78" ht="16.5" customHeight="1" x14ac:dyDescent="0.3">
      <c r="A622" t="s">
        <v>724</v>
      </c>
      <c r="B622" t="s">
        <v>846</v>
      </c>
      <c r="C622" s="27" t="s">
        <v>858</v>
      </c>
      <c r="D622" s="27" t="s">
        <v>862</v>
      </c>
      <c r="E622" t="s">
        <v>848</v>
      </c>
      <c r="F622" t="s">
        <v>864</v>
      </c>
      <c r="G622" s="5">
        <v>1492966</v>
      </c>
      <c r="H622" s="38" t="s">
        <v>532</v>
      </c>
      <c r="I622" s="5" t="s">
        <v>253</v>
      </c>
      <c r="J622" s="5">
        <v>1</v>
      </c>
      <c r="K622" s="5" t="s">
        <v>220</v>
      </c>
      <c r="L622" s="5" t="s">
        <v>220</v>
      </c>
      <c r="M622" s="5" t="s">
        <v>94</v>
      </c>
      <c r="N622" s="5" t="s">
        <v>221</v>
      </c>
      <c r="O622" s="4"/>
      <c r="P622" s="8">
        <f t="shared" si="162"/>
        <v>1</v>
      </c>
      <c r="Q622" s="8">
        <f t="shared" si="163"/>
        <v>0</v>
      </c>
      <c r="R622" s="8">
        <f t="shared" si="164"/>
        <v>1</v>
      </c>
      <c r="S622" s="8"/>
      <c r="T622" s="8"/>
      <c r="U622" s="8"/>
      <c r="V622" s="8"/>
      <c r="W622" s="8"/>
      <c r="X622" s="8">
        <v>1</v>
      </c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Z622" t="s">
        <v>565</v>
      </c>
    </row>
    <row r="623" spans="1:78" ht="16.5" customHeight="1" x14ac:dyDescent="0.3">
      <c r="G623" s="10">
        <v>1492168</v>
      </c>
      <c r="H623" s="11" t="s">
        <v>533</v>
      </c>
      <c r="I623" s="10" t="s">
        <v>253</v>
      </c>
      <c r="J623" s="10">
        <v>1</v>
      </c>
      <c r="K623" s="10" t="s">
        <v>502</v>
      </c>
      <c r="L623" s="10" t="s">
        <v>503</v>
      </c>
      <c r="M623" s="10" t="s">
        <v>94</v>
      </c>
      <c r="N623" s="10" t="s">
        <v>221</v>
      </c>
      <c r="O623" s="9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</row>
    <row r="624" spans="1:78" ht="16.5" customHeight="1" x14ac:dyDescent="0.3">
      <c r="A624" t="s">
        <v>724</v>
      </c>
      <c r="B624" s="27" t="s">
        <v>846</v>
      </c>
      <c r="C624" s="27" t="s">
        <v>858</v>
      </c>
      <c r="D624" s="27" t="s">
        <v>865</v>
      </c>
      <c r="E624" s="27" t="s">
        <v>865</v>
      </c>
      <c r="F624" s="27" t="s">
        <v>865</v>
      </c>
      <c r="G624" s="5">
        <v>1492168</v>
      </c>
      <c r="H624" s="38" t="s">
        <v>534</v>
      </c>
      <c r="I624" s="5" t="s">
        <v>253</v>
      </c>
      <c r="J624" s="5">
        <v>1</v>
      </c>
      <c r="K624" s="5" t="s">
        <v>502</v>
      </c>
      <c r="L624" s="5" t="s">
        <v>503</v>
      </c>
      <c r="M624" s="5" t="s">
        <v>94</v>
      </c>
      <c r="N624" s="5" t="s">
        <v>221</v>
      </c>
      <c r="O624" s="4"/>
      <c r="P624" s="8">
        <f t="shared" ref="P624:P625" si="165">SUM(Q624,R624)</f>
        <v>1</v>
      </c>
      <c r="Q624" s="8">
        <f t="shared" ref="Q624:Q625" si="166">S624</f>
        <v>0</v>
      </c>
      <c r="R624" s="8">
        <f t="shared" ref="R624:R625" si="167">SUM(T624:BX624)</f>
        <v>1</v>
      </c>
      <c r="S624" s="8"/>
      <c r="T624" s="8"/>
      <c r="U624" s="8"/>
      <c r="V624" s="8"/>
      <c r="W624" s="8"/>
      <c r="X624" s="8"/>
      <c r="Y624" s="8">
        <v>1</v>
      </c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Z624" t="s">
        <v>565</v>
      </c>
    </row>
    <row r="625" spans="1:78" ht="16.5" customHeight="1" x14ac:dyDescent="0.3">
      <c r="A625" t="s">
        <v>724</v>
      </c>
      <c r="B625" s="27" t="s">
        <v>846</v>
      </c>
      <c r="C625" s="27" t="s">
        <v>858</v>
      </c>
      <c r="D625" s="27" t="s">
        <v>865</v>
      </c>
      <c r="E625" s="27" t="s">
        <v>848</v>
      </c>
      <c r="F625" s="27" t="s">
        <v>848</v>
      </c>
      <c r="G625" s="5">
        <v>1492945</v>
      </c>
      <c r="H625" s="38" t="s">
        <v>505</v>
      </c>
      <c r="I625" s="5" t="s">
        <v>253</v>
      </c>
      <c r="J625" s="5">
        <v>1</v>
      </c>
      <c r="K625" s="5" t="s">
        <v>220</v>
      </c>
      <c r="L625" s="5" t="s">
        <v>220</v>
      </c>
      <c r="M625" s="5" t="s">
        <v>94</v>
      </c>
      <c r="N625" s="5" t="s">
        <v>221</v>
      </c>
      <c r="O625" s="4"/>
      <c r="P625" s="8">
        <f t="shared" si="165"/>
        <v>1</v>
      </c>
      <c r="Q625" s="8">
        <f t="shared" si="166"/>
        <v>0</v>
      </c>
      <c r="R625" s="8">
        <f t="shared" si="167"/>
        <v>1</v>
      </c>
      <c r="S625" s="8"/>
      <c r="T625" s="8"/>
      <c r="U625" s="8"/>
      <c r="V625" s="8"/>
      <c r="W625" s="8"/>
      <c r="X625" s="8"/>
      <c r="Y625" s="8">
        <v>1</v>
      </c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Z625" t="s">
        <v>565</v>
      </c>
    </row>
    <row r="626" spans="1:78" ht="16.5" customHeight="1" x14ac:dyDescent="0.3">
      <c r="G626" s="14">
        <v>1492169</v>
      </c>
      <c r="H626" s="15" t="s">
        <v>522</v>
      </c>
      <c r="I626" s="14" t="s">
        <v>253</v>
      </c>
      <c r="J626" s="14">
        <v>1</v>
      </c>
      <c r="K626" s="14" t="s">
        <v>508</v>
      </c>
      <c r="L626" s="14" t="s">
        <v>509</v>
      </c>
      <c r="M626" s="14" t="s">
        <v>94</v>
      </c>
      <c r="N626" s="14" t="s">
        <v>110</v>
      </c>
      <c r="O626" s="13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</row>
    <row r="627" spans="1:78" ht="16.5" customHeight="1" x14ac:dyDescent="0.3">
      <c r="A627" t="s">
        <v>724</v>
      </c>
      <c r="B627" s="27" t="s">
        <v>846</v>
      </c>
      <c r="C627" s="27" t="s">
        <v>858</v>
      </c>
      <c r="D627" s="27" t="s">
        <v>865</v>
      </c>
      <c r="E627" s="27" t="s">
        <v>860</v>
      </c>
      <c r="F627" s="27" t="s">
        <v>860</v>
      </c>
      <c r="G627" s="5">
        <v>1492169</v>
      </c>
      <c r="H627" s="38" t="s">
        <v>523</v>
      </c>
      <c r="I627" s="5" t="s">
        <v>253</v>
      </c>
      <c r="J627" s="5">
        <v>1</v>
      </c>
      <c r="K627" s="5" t="s">
        <v>508</v>
      </c>
      <c r="L627" s="5" t="s">
        <v>509</v>
      </c>
      <c r="M627" s="5" t="s">
        <v>94</v>
      </c>
      <c r="N627" s="5" t="s">
        <v>110</v>
      </c>
      <c r="O627" s="4"/>
      <c r="P627" s="8">
        <f t="shared" ref="P627:P631" si="168">SUM(Q627,R627)</f>
        <v>1</v>
      </c>
      <c r="Q627" s="8">
        <f t="shared" ref="Q627:Q631" si="169">S627</f>
        <v>0</v>
      </c>
      <c r="R627" s="8">
        <f t="shared" ref="R627:R631" si="170">SUM(T627:BX627)</f>
        <v>1</v>
      </c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>
        <v>1</v>
      </c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Z627" t="s">
        <v>565</v>
      </c>
    </row>
    <row r="628" spans="1:78" ht="16.5" customHeight="1" x14ac:dyDescent="0.3">
      <c r="A628" t="s">
        <v>724</v>
      </c>
      <c r="B628" s="27" t="s">
        <v>846</v>
      </c>
      <c r="C628" s="27" t="s">
        <v>858</v>
      </c>
      <c r="D628" s="27" t="s">
        <v>865</v>
      </c>
      <c r="E628" s="27" t="s">
        <v>860</v>
      </c>
      <c r="F628" s="27" t="s">
        <v>852</v>
      </c>
      <c r="G628" s="5">
        <v>1492170</v>
      </c>
      <c r="H628" s="38" t="s">
        <v>524</v>
      </c>
      <c r="I628" s="5" t="s">
        <v>253</v>
      </c>
      <c r="J628" s="5">
        <v>1</v>
      </c>
      <c r="K628" s="5" t="s">
        <v>102</v>
      </c>
      <c r="L628" s="5" t="s">
        <v>109</v>
      </c>
      <c r="M628" s="5" t="s">
        <v>94</v>
      </c>
      <c r="N628" s="5" t="s">
        <v>48</v>
      </c>
      <c r="O628" s="4"/>
      <c r="P628" s="8">
        <f t="shared" si="168"/>
        <v>14</v>
      </c>
      <c r="Q628" s="8">
        <f t="shared" si="169"/>
        <v>0</v>
      </c>
      <c r="R628" s="8">
        <f t="shared" si="170"/>
        <v>14</v>
      </c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>
        <v>1</v>
      </c>
      <c r="AJ628" s="8"/>
      <c r="AK628" s="8"/>
      <c r="AL628" s="8"/>
      <c r="AM628" s="8"/>
      <c r="AN628" s="8">
        <v>5</v>
      </c>
      <c r="AO628" s="8"/>
      <c r="AP628" s="8"/>
      <c r="AQ628" s="8"/>
      <c r="AR628" s="8"/>
      <c r="AS628" s="8"/>
      <c r="AT628" s="8"/>
      <c r="AU628" s="8"/>
      <c r="AV628" s="8"/>
      <c r="AW628" s="8">
        <v>5</v>
      </c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>
        <v>1</v>
      </c>
      <c r="BI628" s="8"/>
      <c r="BJ628" s="8"/>
      <c r="BK628" s="8"/>
      <c r="BL628" s="8"/>
      <c r="BM628" s="8"/>
      <c r="BN628" s="8"/>
      <c r="BO628" s="8">
        <v>1</v>
      </c>
      <c r="BP628" s="8"/>
      <c r="BQ628" s="8"/>
      <c r="BR628" s="8"/>
      <c r="BS628" s="8"/>
      <c r="BT628" s="8"/>
      <c r="BU628" s="8"/>
      <c r="BV628" s="8">
        <v>1</v>
      </c>
      <c r="BW628" s="8"/>
      <c r="BX628" s="8"/>
      <c r="BZ628" t="s">
        <v>565</v>
      </c>
    </row>
    <row r="629" spans="1:78" ht="16.5" customHeight="1" x14ac:dyDescent="0.3">
      <c r="A629" t="s">
        <v>724</v>
      </c>
      <c r="B629" s="27" t="s">
        <v>846</v>
      </c>
      <c r="C629" s="27" t="s">
        <v>858</v>
      </c>
      <c r="D629" s="27" t="s">
        <v>865</v>
      </c>
      <c r="E629" s="27" t="s">
        <v>860</v>
      </c>
      <c r="F629" s="27" t="s">
        <v>854</v>
      </c>
      <c r="G629" s="5">
        <v>1494717</v>
      </c>
      <c r="H629" s="38" t="s">
        <v>529</v>
      </c>
      <c r="I629" s="5" t="s">
        <v>253</v>
      </c>
      <c r="J629" s="5">
        <v>1</v>
      </c>
      <c r="K629" s="5" t="s">
        <v>102</v>
      </c>
      <c r="L629" s="5" t="s">
        <v>109</v>
      </c>
      <c r="M629" s="5" t="s">
        <v>94</v>
      </c>
      <c r="N629" s="5" t="s">
        <v>48</v>
      </c>
      <c r="O629" s="4"/>
      <c r="P629" s="8">
        <f t="shared" si="168"/>
        <v>23</v>
      </c>
      <c r="Q629" s="8">
        <f t="shared" si="169"/>
        <v>0</v>
      </c>
      <c r="R629" s="8">
        <f t="shared" si="170"/>
        <v>23</v>
      </c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>
        <v>1</v>
      </c>
      <c r="AK629" s="8"/>
      <c r="AL629" s="8"/>
      <c r="AM629" s="8"/>
      <c r="AN629" s="8">
        <v>13</v>
      </c>
      <c r="AO629" s="8"/>
      <c r="AP629" s="8"/>
      <c r="AQ629" s="8"/>
      <c r="AR629" s="8"/>
      <c r="AS629" s="8"/>
      <c r="AT629" s="8"/>
      <c r="AU629" s="8"/>
      <c r="AV629" s="8"/>
      <c r="AW629" s="8">
        <v>9</v>
      </c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Z629" t="s">
        <v>565</v>
      </c>
    </row>
    <row r="630" spans="1:78" ht="16.5" customHeight="1" x14ac:dyDescent="0.3">
      <c r="A630" t="s">
        <v>724</v>
      </c>
      <c r="B630" s="27" t="s">
        <v>846</v>
      </c>
      <c r="C630" s="27" t="s">
        <v>858</v>
      </c>
      <c r="D630" s="27" t="s">
        <v>865</v>
      </c>
      <c r="E630" s="27" t="s">
        <v>860</v>
      </c>
      <c r="F630" s="27" t="s">
        <v>855</v>
      </c>
      <c r="G630" s="5">
        <v>1494718</v>
      </c>
      <c r="H630" s="38" t="s">
        <v>530</v>
      </c>
      <c r="I630" s="5" t="s">
        <v>253</v>
      </c>
      <c r="J630" s="5">
        <v>1</v>
      </c>
      <c r="K630" s="5" t="s">
        <v>102</v>
      </c>
      <c r="L630" s="5" t="s">
        <v>109</v>
      </c>
      <c r="M630" s="5" t="s">
        <v>94</v>
      </c>
      <c r="N630" s="5" t="s">
        <v>48</v>
      </c>
      <c r="O630" s="4"/>
      <c r="P630" s="8">
        <f t="shared" si="168"/>
        <v>17</v>
      </c>
      <c r="Q630" s="8">
        <f t="shared" si="169"/>
        <v>0</v>
      </c>
      <c r="R630" s="8">
        <f t="shared" si="170"/>
        <v>17</v>
      </c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>
        <v>1</v>
      </c>
      <c r="AJ630" s="8"/>
      <c r="AK630" s="8"/>
      <c r="AL630" s="8"/>
      <c r="AM630" s="8"/>
      <c r="AN630" s="8">
        <v>9</v>
      </c>
      <c r="AO630" s="8"/>
      <c r="AP630" s="8"/>
      <c r="AQ630" s="8"/>
      <c r="AR630" s="8"/>
      <c r="AS630" s="8"/>
      <c r="AT630" s="8"/>
      <c r="AU630" s="8"/>
      <c r="AV630" s="8"/>
      <c r="AW630" s="8">
        <v>7</v>
      </c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Z630" t="s">
        <v>565</v>
      </c>
    </row>
    <row r="631" spans="1:78" ht="16.5" customHeight="1" x14ac:dyDescent="0.3">
      <c r="A631" t="s">
        <v>724</v>
      </c>
      <c r="B631" t="s">
        <v>846</v>
      </c>
      <c r="C631" s="27" t="s">
        <v>858</v>
      </c>
      <c r="D631" s="27" t="s">
        <v>865</v>
      </c>
      <c r="E631" t="s">
        <v>848</v>
      </c>
      <c r="F631" t="s">
        <v>857</v>
      </c>
      <c r="G631" s="5">
        <v>1492967</v>
      </c>
      <c r="H631" s="38" t="s">
        <v>519</v>
      </c>
      <c r="I631" s="5" t="s">
        <v>253</v>
      </c>
      <c r="J631" s="5">
        <v>1</v>
      </c>
      <c r="K631" s="5" t="s">
        <v>220</v>
      </c>
      <c r="L631" s="5" t="s">
        <v>220</v>
      </c>
      <c r="M631" s="5" t="s">
        <v>94</v>
      </c>
      <c r="N631" s="5" t="s">
        <v>221</v>
      </c>
      <c r="O631" s="4"/>
      <c r="P631" s="8">
        <f t="shared" si="168"/>
        <v>1</v>
      </c>
      <c r="Q631" s="8">
        <f t="shared" si="169"/>
        <v>0</v>
      </c>
      <c r="R631" s="8">
        <f t="shared" si="170"/>
        <v>1</v>
      </c>
      <c r="S631" s="8"/>
      <c r="T631" s="8"/>
      <c r="U631" s="8"/>
      <c r="V631" s="8"/>
      <c r="W631" s="8"/>
      <c r="X631" s="8"/>
      <c r="Y631" s="8">
        <v>1</v>
      </c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Z631" t="s">
        <v>565</v>
      </c>
    </row>
    <row r="632" spans="1:78" ht="16.5" customHeight="1" x14ac:dyDescent="0.3">
      <c r="G632" s="10">
        <v>1492184</v>
      </c>
      <c r="H632" s="11" t="s">
        <v>535</v>
      </c>
      <c r="I632" s="10" t="s">
        <v>253</v>
      </c>
      <c r="J632" s="10">
        <v>1</v>
      </c>
      <c r="K632" s="10" t="s">
        <v>502</v>
      </c>
      <c r="L632" s="10" t="s">
        <v>503</v>
      </c>
      <c r="M632" s="10" t="s">
        <v>94</v>
      </c>
      <c r="N632" s="10" t="s">
        <v>221</v>
      </c>
      <c r="O632" s="9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</row>
    <row r="633" spans="1:78" ht="16.5" customHeight="1" x14ac:dyDescent="0.3">
      <c r="A633" t="s">
        <v>724</v>
      </c>
      <c r="B633" s="27" t="s">
        <v>846</v>
      </c>
      <c r="C633" s="27" t="s">
        <v>858</v>
      </c>
      <c r="D633" s="27" t="s">
        <v>866</v>
      </c>
      <c r="E633" s="27" t="s">
        <v>866</v>
      </c>
      <c r="F633" s="27" t="s">
        <v>866</v>
      </c>
      <c r="G633" s="5">
        <v>1492184</v>
      </c>
      <c r="H633" s="38" t="s">
        <v>536</v>
      </c>
      <c r="I633" s="5" t="s">
        <v>253</v>
      </c>
      <c r="J633" s="5">
        <v>1</v>
      </c>
      <c r="K633" s="5" t="s">
        <v>502</v>
      </c>
      <c r="L633" s="5" t="s">
        <v>503</v>
      </c>
      <c r="M633" s="5" t="s">
        <v>94</v>
      </c>
      <c r="N633" s="5" t="s">
        <v>221</v>
      </c>
      <c r="O633" s="4"/>
      <c r="P633" s="8">
        <f>SUM(Q633,R633)</f>
        <v>1</v>
      </c>
      <c r="Q633" s="8">
        <f>S633</f>
        <v>0</v>
      </c>
      <c r="R633" s="8">
        <f>SUM(T633:BX633)</f>
        <v>1</v>
      </c>
      <c r="S633" s="8"/>
      <c r="T633" s="8"/>
      <c r="U633" s="8"/>
      <c r="V633" s="8"/>
      <c r="W633" s="8"/>
      <c r="X633" s="8"/>
      <c r="Y633" s="8">
        <v>1</v>
      </c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Z633" t="s">
        <v>565</v>
      </c>
    </row>
    <row r="634" spans="1:78" ht="16.5" customHeight="1" x14ac:dyDescent="0.3">
      <c r="G634" s="14">
        <v>1492185</v>
      </c>
      <c r="H634" s="15" t="s">
        <v>522</v>
      </c>
      <c r="I634" s="14" t="s">
        <v>253</v>
      </c>
      <c r="J634" s="14">
        <v>1</v>
      </c>
      <c r="K634" s="14" t="s">
        <v>508</v>
      </c>
      <c r="L634" s="14" t="s">
        <v>509</v>
      </c>
      <c r="M634" s="14" t="s">
        <v>94</v>
      </c>
      <c r="N634" s="14" t="s">
        <v>110</v>
      </c>
      <c r="O634" s="13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</row>
    <row r="635" spans="1:78" ht="16.5" customHeight="1" x14ac:dyDescent="0.3">
      <c r="A635" t="s">
        <v>724</v>
      </c>
      <c r="B635" s="27" t="s">
        <v>846</v>
      </c>
      <c r="C635" s="27" t="s">
        <v>858</v>
      </c>
      <c r="D635" s="27" t="s">
        <v>866</v>
      </c>
      <c r="E635" s="27" t="s">
        <v>860</v>
      </c>
      <c r="F635" s="27" t="s">
        <v>860</v>
      </c>
      <c r="G635" s="5">
        <v>1492185</v>
      </c>
      <c r="H635" s="38" t="s">
        <v>523</v>
      </c>
      <c r="I635" s="5" t="s">
        <v>253</v>
      </c>
      <c r="J635" s="5">
        <v>1</v>
      </c>
      <c r="K635" s="5" t="s">
        <v>508</v>
      </c>
      <c r="L635" s="5" t="s">
        <v>509</v>
      </c>
      <c r="M635" s="5" t="s">
        <v>94</v>
      </c>
      <c r="N635" s="5" t="s">
        <v>110</v>
      </c>
      <c r="O635" s="4"/>
      <c r="P635" s="8">
        <f t="shared" ref="P635:P637" si="171">SUM(Q635,R635)</f>
        <v>1</v>
      </c>
      <c r="Q635" s="8">
        <f t="shared" ref="Q635:Q637" si="172">S635</f>
        <v>0</v>
      </c>
      <c r="R635" s="8">
        <f t="shared" ref="R635:R637" si="173">SUM(T635:BX635)</f>
        <v>1</v>
      </c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>
        <v>1</v>
      </c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Z635" t="s">
        <v>565</v>
      </c>
    </row>
    <row r="636" spans="1:78" ht="16.5" customHeight="1" x14ac:dyDescent="0.3">
      <c r="A636" t="s">
        <v>573</v>
      </c>
      <c r="B636" t="s">
        <v>846</v>
      </c>
      <c r="C636" t="s">
        <v>858</v>
      </c>
      <c r="D636" t="s">
        <v>866</v>
      </c>
      <c r="E636" t="s">
        <v>860</v>
      </c>
      <c r="F636" t="s">
        <v>852</v>
      </c>
      <c r="G636" s="5">
        <v>1492186</v>
      </c>
      <c r="H636" s="38" t="s">
        <v>524</v>
      </c>
      <c r="I636" s="5" t="s">
        <v>253</v>
      </c>
      <c r="J636" s="5">
        <v>1</v>
      </c>
      <c r="K636" s="5" t="s">
        <v>102</v>
      </c>
      <c r="L636" s="5" t="s">
        <v>109</v>
      </c>
      <c r="M636" s="5" t="s">
        <v>94</v>
      </c>
      <c r="N636" s="5" t="s">
        <v>48</v>
      </c>
      <c r="O636" s="4"/>
      <c r="P636" s="8">
        <f t="shared" si="171"/>
        <v>9</v>
      </c>
      <c r="Q636" s="8">
        <f t="shared" si="172"/>
        <v>0</v>
      </c>
      <c r="R636" s="8">
        <f t="shared" si="173"/>
        <v>9</v>
      </c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>
        <v>1</v>
      </c>
      <c r="AJ636" s="8"/>
      <c r="AK636" s="8"/>
      <c r="AL636" s="8"/>
      <c r="AM636" s="8"/>
      <c r="AN636" s="8">
        <v>4</v>
      </c>
      <c r="AO636" s="8"/>
      <c r="AP636" s="8"/>
      <c r="AQ636" s="8"/>
      <c r="AR636" s="8"/>
      <c r="AS636" s="8"/>
      <c r="AT636" s="8"/>
      <c r="AU636" s="8"/>
      <c r="AV636" s="8"/>
      <c r="AW636" s="8">
        <v>2</v>
      </c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>
        <v>1</v>
      </c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>
        <v>1</v>
      </c>
      <c r="BW636" s="8"/>
      <c r="BX636" s="8"/>
      <c r="BZ636" t="s">
        <v>565</v>
      </c>
    </row>
    <row r="637" spans="1:78" ht="16.5" customHeight="1" x14ac:dyDescent="0.3">
      <c r="A637" t="s">
        <v>573</v>
      </c>
      <c r="B637" t="s">
        <v>846</v>
      </c>
      <c r="C637" t="s">
        <v>858</v>
      </c>
      <c r="D637" t="s">
        <v>866</v>
      </c>
      <c r="E637" t="s">
        <v>860</v>
      </c>
      <c r="F637" t="s">
        <v>861</v>
      </c>
      <c r="G637" s="5">
        <v>1492187</v>
      </c>
      <c r="H637" s="38" t="s">
        <v>525</v>
      </c>
      <c r="I637" s="5" t="s">
        <v>253</v>
      </c>
      <c r="J637" s="5">
        <v>1</v>
      </c>
      <c r="K637" s="5" t="s">
        <v>102</v>
      </c>
      <c r="L637" s="5" t="s">
        <v>109</v>
      </c>
      <c r="M637" s="5" t="s">
        <v>94</v>
      </c>
      <c r="N637" s="5" t="s">
        <v>48</v>
      </c>
      <c r="O637" s="4"/>
      <c r="P637" s="8">
        <f t="shared" si="171"/>
        <v>14</v>
      </c>
      <c r="Q637" s="8">
        <f t="shared" si="172"/>
        <v>0</v>
      </c>
      <c r="R637" s="8">
        <f t="shared" si="173"/>
        <v>14</v>
      </c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>
        <v>1</v>
      </c>
      <c r="AJ637" s="8"/>
      <c r="AK637" s="8"/>
      <c r="AL637" s="8"/>
      <c r="AM637" s="8"/>
      <c r="AN637" s="8">
        <v>7</v>
      </c>
      <c r="AO637" s="8"/>
      <c r="AP637" s="8"/>
      <c r="AQ637" s="8"/>
      <c r="AR637" s="8"/>
      <c r="AS637" s="8"/>
      <c r="AT637" s="8"/>
      <c r="AU637" s="8"/>
      <c r="AV637" s="8"/>
      <c r="AW637" s="8">
        <v>6</v>
      </c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Z637" t="s">
        <v>565</v>
      </c>
    </row>
    <row r="638" spans="1:78" ht="16.5" customHeight="1" x14ac:dyDescent="0.3">
      <c r="G638" s="10">
        <v>1492194</v>
      </c>
      <c r="H638" s="11" t="s">
        <v>537</v>
      </c>
      <c r="I638" s="10" t="s">
        <v>253</v>
      </c>
      <c r="J638" s="10">
        <v>1</v>
      </c>
      <c r="K638" s="10" t="s">
        <v>502</v>
      </c>
      <c r="L638" s="10" t="s">
        <v>503</v>
      </c>
      <c r="M638" s="10" t="s">
        <v>94</v>
      </c>
      <c r="N638" s="10" t="s">
        <v>221</v>
      </c>
      <c r="O638" s="9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</row>
    <row r="639" spans="1:78" ht="16.5" customHeight="1" x14ac:dyDescent="0.3">
      <c r="A639" t="s">
        <v>573</v>
      </c>
      <c r="B639" t="s">
        <v>846</v>
      </c>
      <c r="C639" t="s">
        <v>858</v>
      </c>
      <c r="D639" t="s">
        <v>867</v>
      </c>
      <c r="E639" t="s">
        <v>867</v>
      </c>
      <c r="F639" t="s">
        <v>867</v>
      </c>
      <c r="G639" s="5">
        <v>1492194</v>
      </c>
      <c r="H639" s="38" t="s">
        <v>538</v>
      </c>
      <c r="I639" s="5" t="s">
        <v>253</v>
      </c>
      <c r="J639" s="5">
        <v>1</v>
      </c>
      <c r="K639" s="5" t="s">
        <v>502</v>
      </c>
      <c r="L639" s="5" t="s">
        <v>503</v>
      </c>
      <c r="M639" s="5" t="s">
        <v>94</v>
      </c>
      <c r="N639" s="5" t="s">
        <v>221</v>
      </c>
      <c r="O639" s="4"/>
      <c r="P639" s="8">
        <f>SUM(Q639,R639)</f>
        <v>1</v>
      </c>
      <c r="Q639" s="8">
        <f>S639</f>
        <v>0</v>
      </c>
      <c r="R639" s="8">
        <f>SUM(T639:BX639)</f>
        <v>1</v>
      </c>
      <c r="S639" s="8"/>
      <c r="T639" s="8"/>
      <c r="U639" s="8"/>
      <c r="V639" s="8"/>
      <c r="W639" s="8"/>
      <c r="X639" s="8"/>
      <c r="Y639" s="8">
        <v>1</v>
      </c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Z639" t="s">
        <v>565</v>
      </c>
    </row>
    <row r="640" spans="1:78" ht="16.5" customHeight="1" x14ac:dyDescent="0.3">
      <c r="G640" s="14">
        <v>1492195</v>
      </c>
      <c r="H640" s="15" t="s">
        <v>522</v>
      </c>
      <c r="I640" s="14" t="s">
        <v>253</v>
      </c>
      <c r="J640" s="14">
        <v>1</v>
      </c>
      <c r="K640" s="14" t="s">
        <v>508</v>
      </c>
      <c r="L640" s="14" t="s">
        <v>509</v>
      </c>
      <c r="M640" s="14" t="s">
        <v>94</v>
      </c>
      <c r="N640" s="14" t="s">
        <v>110</v>
      </c>
      <c r="O640" s="13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</row>
    <row r="641" spans="1:78" ht="16.5" customHeight="1" x14ac:dyDescent="0.3">
      <c r="A641" t="s">
        <v>573</v>
      </c>
      <c r="B641" t="s">
        <v>846</v>
      </c>
      <c r="C641" t="s">
        <v>858</v>
      </c>
      <c r="D641" t="s">
        <v>867</v>
      </c>
      <c r="E641" t="s">
        <v>860</v>
      </c>
      <c r="F641" t="s">
        <v>860</v>
      </c>
      <c r="G641" s="5">
        <v>1492195</v>
      </c>
      <c r="H641" s="38" t="s">
        <v>523</v>
      </c>
      <c r="I641" s="5" t="s">
        <v>253</v>
      </c>
      <c r="J641" s="5">
        <v>1</v>
      </c>
      <c r="K641" s="5" t="s">
        <v>508</v>
      </c>
      <c r="L641" s="5" t="s">
        <v>509</v>
      </c>
      <c r="M641" s="5" t="s">
        <v>94</v>
      </c>
      <c r="N641" s="5" t="s">
        <v>110</v>
      </c>
      <c r="O641" s="4"/>
      <c r="P641" s="8">
        <f t="shared" ref="P641:P643" si="174">SUM(Q641,R641)</f>
        <v>1</v>
      </c>
      <c r="Q641" s="8">
        <f t="shared" ref="Q641:Q643" si="175">S641</f>
        <v>0</v>
      </c>
      <c r="R641" s="8">
        <f t="shared" ref="R641:R643" si="176">SUM(T641:BX641)</f>
        <v>1</v>
      </c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>
        <v>1</v>
      </c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Z641" t="s">
        <v>565</v>
      </c>
    </row>
    <row r="642" spans="1:78" ht="16.5" customHeight="1" x14ac:dyDescent="0.3">
      <c r="A642" t="s">
        <v>573</v>
      </c>
      <c r="B642" t="s">
        <v>846</v>
      </c>
      <c r="C642" t="s">
        <v>858</v>
      </c>
      <c r="D642" t="s">
        <v>867</v>
      </c>
      <c r="E642" t="s">
        <v>860</v>
      </c>
      <c r="F642" t="s">
        <v>852</v>
      </c>
      <c r="G642" s="5">
        <v>1492196</v>
      </c>
      <c r="H642" s="38" t="s">
        <v>524</v>
      </c>
      <c r="I642" s="5" t="s">
        <v>253</v>
      </c>
      <c r="J642" s="5">
        <v>1</v>
      </c>
      <c r="K642" s="5" t="s">
        <v>102</v>
      </c>
      <c r="L642" s="5" t="s">
        <v>109</v>
      </c>
      <c r="M642" s="5" t="s">
        <v>94</v>
      </c>
      <c r="N642" s="5" t="s">
        <v>48</v>
      </c>
      <c r="O642" s="4"/>
      <c r="P642" s="8">
        <f t="shared" si="174"/>
        <v>10</v>
      </c>
      <c r="Q642" s="8">
        <f t="shared" si="175"/>
        <v>0</v>
      </c>
      <c r="R642" s="8">
        <f t="shared" si="176"/>
        <v>10</v>
      </c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>
        <v>1</v>
      </c>
      <c r="AJ642" s="8"/>
      <c r="AK642" s="8"/>
      <c r="AL642" s="8"/>
      <c r="AM642" s="8"/>
      <c r="AN642" s="8">
        <v>4</v>
      </c>
      <c r="AO642" s="8"/>
      <c r="AP642" s="8"/>
      <c r="AQ642" s="8"/>
      <c r="AR642" s="8"/>
      <c r="AS642" s="8"/>
      <c r="AT642" s="8"/>
      <c r="AU642" s="8"/>
      <c r="AV642" s="8"/>
      <c r="AW642" s="8">
        <v>2</v>
      </c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>
        <v>1</v>
      </c>
      <c r="BI642" s="8"/>
      <c r="BJ642" s="8"/>
      <c r="BK642" s="8"/>
      <c r="BL642" s="8"/>
      <c r="BM642" s="8"/>
      <c r="BN642" s="8"/>
      <c r="BO642" s="8">
        <v>1</v>
      </c>
      <c r="BP642" s="8"/>
      <c r="BQ642" s="8"/>
      <c r="BR642" s="8"/>
      <c r="BS642" s="8"/>
      <c r="BT642" s="8"/>
      <c r="BU642" s="8"/>
      <c r="BV642" s="8">
        <v>1</v>
      </c>
      <c r="BW642" s="8"/>
      <c r="BX642" s="8"/>
      <c r="BZ642" t="s">
        <v>565</v>
      </c>
    </row>
    <row r="643" spans="1:78" ht="16.5" customHeight="1" x14ac:dyDescent="0.3">
      <c r="A643" t="s">
        <v>573</v>
      </c>
      <c r="B643" t="s">
        <v>846</v>
      </c>
      <c r="C643" t="s">
        <v>858</v>
      </c>
      <c r="D643" t="s">
        <v>867</v>
      </c>
      <c r="E643" t="s">
        <v>860</v>
      </c>
      <c r="F643" t="s">
        <v>861</v>
      </c>
      <c r="G643" s="5">
        <v>1492197</v>
      </c>
      <c r="H643" s="38" t="s">
        <v>525</v>
      </c>
      <c r="I643" s="5" t="s">
        <v>253</v>
      </c>
      <c r="J643" s="5">
        <v>1</v>
      </c>
      <c r="K643" s="5" t="s">
        <v>102</v>
      </c>
      <c r="L643" s="5" t="s">
        <v>109</v>
      </c>
      <c r="M643" s="5" t="s">
        <v>94</v>
      </c>
      <c r="N643" s="5" t="s">
        <v>48</v>
      </c>
      <c r="O643" s="4"/>
      <c r="P643" s="8">
        <f t="shared" si="174"/>
        <v>13</v>
      </c>
      <c r="Q643" s="8">
        <f t="shared" si="175"/>
        <v>0</v>
      </c>
      <c r="R643" s="8">
        <f t="shared" si="176"/>
        <v>13</v>
      </c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>
        <v>1</v>
      </c>
      <c r="AJ643" s="8"/>
      <c r="AK643" s="8"/>
      <c r="AL643" s="8"/>
      <c r="AM643" s="8"/>
      <c r="AN643" s="8">
        <v>8</v>
      </c>
      <c r="AO643" s="8"/>
      <c r="AP643" s="8"/>
      <c r="AQ643" s="8"/>
      <c r="AR643" s="8"/>
      <c r="AS643" s="8"/>
      <c r="AT643" s="8"/>
      <c r="AU643" s="8"/>
      <c r="AV643" s="8"/>
      <c r="AW643" s="8">
        <v>3</v>
      </c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>
        <v>1</v>
      </c>
      <c r="BP643" s="8"/>
      <c r="BQ643" s="8"/>
      <c r="BR643" s="8"/>
      <c r="BS643" s="8"/>
      <c r="BT643" s="8"/>
      <c r="BU643" s="8"/>
      <c r="BV643" s="8"/>
      <c r="BW643" s="8"/>
      <c r="BX643" s="8"/>
      <c r="BZ643" t="s">
        <v>565</v>
      </c>
    </row>
    <row r="644" spans="1:78" ht="16.5" customHeight="1" x14ac:dyDescent="0.3">
      <c r="G644" s="10">
        <v>1492202</v>
      </c>
      <c r="H644" s="11" t="s">
        <v>539</v>
      </c>
      <c r="I644" s="10" t="s">
        <v>253</v>
      </c>
      <c r="J644" s="10">
        <v>1</v>
      </c>
      <c r="K644" s="10" t="s">
        <v>502</v>
      </c>
      <c r="L644" s="10" t="s">
        <v>503</v>
      </c>
      <c r="M644" s="10" t="s">
        <v>94</v>
      </c>
      <c r="N644" s="10" t="s">
        <v>221</v>
      </c>
      <c r="O644" s="9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</row>
    <row r="645" spans="1:78" ht="16.5" customHeight="1" x14ac:dyDescent="0.3">
      <c r="A645" t="s">
        <v>573</v>
      </c>
      <c r="B645" t="s">
        <v>846</v>
      </c>
      <c r="C645" t="s">
        <v>858</v>
      </c>
      <c r="D645" t="s">
        <v>868</v>
      </c>
      <c r="E645" t="s">
        <v>868</v>
      </c>
      <c r="F645" t="s">
        <v>868</v>
      </c>
      <c r="G645" s="5">
        <v>1492202</v>
      </c>
      <c r="H645" s="38" t="s">
        <v>540</v>
      </c>
      <c r="I645" s="5" t="s">
        <v>253</v>
      </c>
      <c r="J645" s="5">
        <v>1</v>
      </c>
      <c r="K645" s="5" t="s">
        <v>502</v>
      </c>
      <c r="L645" s="5" t="s">
        <v>503</v>
      </c>
      <c r="M645" s="5" t="s">
        <v>94</v>
      </c>
      <c r="N645" s="5" t="s">
        <v>221</v>
      </c>
      <c r="O645" s="4"/>
      <c r="P645" s="8">
        <f>SUM(Q645,R645)</f>
        <v>1</v>
      </c>
      <c r="Q645" s="8">
        <f>S645</f>
        <v>0</v>
      </c>
      <c r="R645" s="8">
        <f>SUM(T645:BX645)</f>
        <v>1</v>
      </c>
      <c r="S645" s="8"/>
      <c r="T645" s="8"/>
      <c r="U645" s="8"/>
      <c r="V645" s="8"/>
      <c r="W645" s="8"/>
      <c r="X645" s="8"/>
      <c r="Y645" s="8">
        <v>1</v>
      </c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Z645" t="s">
        <v>565</v>
      </c>
    </row>
    <row r="646" spans="1:78" ht="16.5" customHeight="1" x14ac:dyDescent="0.3">
      <c r="G646" s="14">
        <v>1492203</v>
      </c>
      <c r="H646" s="15" t="s">
        <v>522</v>
      </c>
      <c r="I646" s="14" t="s">
        <v>253</v>
      </c>
      <c r="J646" s="14">
        <v>1</v>
      </c>
      <c r="K646" s="14" t="s">
        <v>508</v>
      </c>
      <c r="L646" s="14" t="s">
        <v>509</v>
      </c>
      <c r="M646" s="14" t="s">
        <v>94</v>
      </c>
      <c r="N646" s="14" t="s">
        <v>110</v>
      </c>
      <c r="O646" s="13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</row>
    <row r="647" spans="1:78" ht="16.5" customHeight="1" x14ac:dyDescent="0.3">
      <c r="A647" t="s">
        <v>573</v>
      </c>
      <c r="B647" t="s">
        <v>846</v>
      </c>
      <c r="C647" t="s">
        <v>858</v>
      </c>
      <c r="D647" t="s">
        <v>868</v>
      </c>
      <c r="E647" t="s">
        <v>860</v>
      </c>
      <c r="F647" t="s">
        <v>860</v>
      </c>
      <c r="G647" s="5">
        <v>1492203</v>
      </c>
      <c r="H647" s="38" t="s">
        <v>523</v>
      </c>
      <c r="I647" s="5" t="s">
        <v>253</v>
      </c>
      <c r="J647" s="5">
        <v>1</v>
      </c>
      <c r="K647" s="5" t="s">
        <v>508</v>
      </c>
      <c r="L647" s="5" t="s">
        <v>509</v>
      </c>
      <c r="M647" s="5" t="s">
        <v>94</v>
      </c>
      <c r="N647" s="5" t="s">
        <v>110</v>
      </c>
      <c r="O647" s="4"/>
      <c r="P647" s="8">
        <f t="shared" ref="P647:P649" si="177">SUM(Q647,R647)</f>
        <v>1</v>
      </c>
      <c r="Q647" s="8">
        <f t="shared" ref="Q647:Q649" si="178">S647</f>
        <v>0</v>
      </c>
      <c r="R647" s="8">
        <f t="shared" ref="R647:R649" si="179">SUM(T647:BX647)</f>
        <v>1</v>
      </c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>
        <v>1</v>
      </c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Z647" t="s">
        <v>565</v>
      </c>
    </row>
    <row r="648" spans="1:78" ht="16.5" customHeight="1" x14ac:dyDescent="0.3">
      <c r="A648" t="s">
        <v>573</v>
      </c>
      <c r="B648" t="s">
        <v>846</v>
      </c>
      <c r="C648" t="s">
        <v>858</v>
      </c>
      <c r="D648" t="s">
        <v>868</v>
      </c>
      <c r="E648" t="s">
        <v>860</v>
      </c>
      <c r="F648" t="s">
        <v>852</v>
      </c>
      <c r="G648" s="5">
        <v>1492204</v>
      </c>
      <c r="H648" s="38" t="s">
        <v>524</v>
      </c>
      <c r="I648" s="5" t="s">
        <v>253</v>
      </c>
      <c r="J648" s="5">
        <v>1</v>
      </c>
      <c r="K648" s="5" t="s">
        <v>102</v>
      </c>
      <c r="L648" s="5" t="s">
        <v>109</v>
      </c>
      <c r="M648" s="5" t="s">
        <v>94</v>
      </c>
      <c r="N648" s="5" t="s">
        <v>48</v>
      </c>
      <c r="O648" s="4"/>
      <c r="P648" s="8">
        <f t="shared" si="177"/>
        <v>9</v>
      </c>
      <c r="Q648" s="8">
        <f t="shared" si="178"/>
        <v>0</v>
      </c>
      <c r="R648" s="8">
        <f t="shared" si="179"/>
        <v>9</v>
      </c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>
        <v>1</v>
      </c>
      <c r="AJ648" s="8"/>
      <c r="AK648" s="8"/>
      <c r="AL648" s="8"/>
      <c r="AM648" s="8"/>
      <c r="AN648" s="8">
        <v>3</v>
      </c>
      <c r="AO648" s="8"/>
      <c r="AP648" s="8"/>
      <c r="AQ648" s="8"/>
      <c r="AR648" s="8"/>
      <c r="AS648" s="8"/>
      <c r="AT648" s="8"/>
      <c r="AU648" s="8"/>
      <c r="AV648" s="8"/>
      <c r="AW648" s="8">
        <v>2</v>
      </c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>
        <v>1</v>
      </c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>
        <v>1</v>
      </c>
      <c r="BU648" s="8"/>
      <c r="BV648" s="8">
        <v>1</v>
      </c>
      <c r="BW648" s="8"/>
      <c r="BX648" s="8"/>
      <c r="BZ648" t="s">
        <v>565</v>
      </c>
    </row>
    <row r="649" spans="1:78" ht="16.5" customHeight="1" x14ac:dyDescent="0.3">
      <c r="A649" t="s">
        <v>573</v>
      </c>
      <c r="B649" t="s">
        <v>846</v>
      </c>
      <c r="C649" t="s">
        <v>858</v>
      </c>
      <c r="D649" t="s">
        <v>868</v>
      </c>
      <c r="E649" t="s">
        <v>860</v>
      </c>
      <c r="F649" t="s">
        <v>861</v>
      </c>
      <c r="G649" s="5">
        <v>1492205</v>
      </c>
      <c r="H649" s="38" t="s">
        <v>525</v>
      </c>
      <c r="I649" s="5" t="s">
        <v>253</v>
      </c>
      <c r="J649" s="5">
        <v>1</v>
      </c>
      <c r="K649" s="5" t="s">
        <v>102</v>
      </c>
      <c r="L649" s="5" t="s">
        <v>109</v>
      </c>
      <c r="M649" s="5" t="s">
        <v>94</v>
      </c>
      <c r="N649" s="5" t="s">
        <v>48</v>
      </c>
      <c r="O649" s="4"/>
      <c r="P649" s="8">
        <f t="shared" si="177"/>
        <v>16</v>
      </c>
      <c r="Q649" s="8">
        <f t="shared" si="178"/>
        <v>0</v>
      </c>
      <c r="R649" s="8">
        <f t="shared" si="179"/>
        <v>16</v>
      </c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>
        <v>1</v>
      </c>
      <c r="AJ649" s="8"/>
      <c r="AK649" s="8"/>
      <c r="AL649" s="8"/>
      <c r="AM649" s="8"/>
      <c r="AN649" s="8">
        <v>7</v>
      </c>
      <c r="AO649" s="8"/>
      <c r="AP649" s="8"/>
      <c r="AQ649" s="8"/>
      <c r="AR649" s="8"/>
      <c r="AS649" s="8"/>
      <c r="AT649" s="8"/>
      <c r="AU649" s="8"/>
      <c r="AV649" s="8"/>
      <c r="AW649" s="8">
        <v>7</v>
      </c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>
        <v>1</v>
      </c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Z649" t="s">
        <v>565</v>
      </c>
    </row>
    <row r="650" spans="1:78" ht="16.5" customHeight="1" x14ac:dyDescent="0.3">
      <c r="G650" s="10">
        <v>1492210</v>
      </c>
      <c r="H650" s="11" t="s">
        <v>541</v>
      </c>
      <c r="I650" s="10" t="s">
        <v>253</v>
      </c>
      <c r="J650" s="10">
        <v>1</v>
      </c>
      <c r="K650" s="10" t="s">
        <v>502</v>
      </c>
      <c r="L650" s="10" t="s">
        <v>503</v>
      </c>
      <c r="M650" s="10" t="s">
        <v>94</v>
      </c>
      <c r="N650" s="10" t="s">
        <v>221</v>
      </c>
      <c r="O650" s="9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</row>
    <row r="651" spans="1:78" ht="16.5" customHeight="1" x14ac:dyDescent="0.3">
      <c r="A651" t="s">
        <v>573</v>
      </c>
      <c r="B651" t="s">
        <v>846</v>
      </c>
      <c r="C651" t="s">
        <v>858</v>
      </c>
      <c r="D651" t="s">
        <v>869</v>
      </c>
      <c r="E651" t="s">
        <v>869</v>
      </c>
      <c r="F651" t="s">
        <v>869</v>
      </c>
      <c r="G651" s="5">
        <v>1492210</v>
      </c>
      <c r="H651" s="38" t="s">
        <v>542</v>
      </c>
      <c r="I651" s="5" t="s">
        <v>253</v>
      </c>
      <c r="J651" s="5">
        <v>1</v>
      </c>
      <c r="K651" s="5" t="s">
        <v>502</v>
      </c>
      <c r="L651" s="5" t="s">
        <v>503</v>
      </c>
      <c r="M651" s="5" t="s">
        <v>94</v>
      </c>
      <c r="N651" s="5" t="s">
        <v>221</v>
      </c>
      <c r="O651" s="4"/>
      <c r="P651" s="8">
        <f>SUM(Q651,R651)</f>
        <v>1</v>
      </c>
      <c r="Q651" s="8">
        <f>S651</f>
        <v>0</v>
      </c>
      <c r="R651" s="8">
        <f>SUM(T651:BX651)</f>
        <v>1</v>
      </c>
      <c r="S651" s="8"/>
      <c r="T651" s="8"/>
      <c r="U651" s="8"/>
      <c r="V651" s="8"/>
      <c r="W651" s="8"/>
      <c r="X651" s="8"/>
      <c r="Y651" s="8">
        <v>1</v>
      </c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Z651" t="s">
        <v>565</v>
      </c>
    </row>
    <row r="652" spans="1:78" ht="16.5" customHeight="1" x14ac:dyDescent="0.3">
      <c r="G652" s="14">
        <v>1492211</v>
      </c>
      <c r="H652" s="15" t="s">
        <v>522</v>
      </c>
      <c r="I652" s="14" t="s">
        <v>253</v>
      </c>
      <c r="J652" s="14">
        <v>1</v>
      </c>
      <c r="K652" s="14" t="s">
        <v>508</v>
      </c>
      <c r="L652" s="14" t="s">
        <v>509</v>
      </c>
      <c r="M652" s="14" t="s">
        <v>94</v>
      </c>
      <c r="N652" s="14" t="s">
        <v>110</v>
      </c>
      <c r="O652" s="13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</row>
    <row r="653" spans="1:78" ht="16.5" customHeight="1" x14ac:dyDescent="0.3">
      <c r="A653" t="s">
        <v>573</v>
      </c>
      <c r="B653" t="s">
        <v>846</v>
      </c>
      <c r="C653" t="s">
        <v>858</v>
      </c>
      <c r="D653" t="s">
        <v>869</v>
      </c>
      <c r="E653" t="s">
        <v>860</v>
      </c>
      <c r="F653" t="s">
        <v>860</v>
      </c>
      <c r="G653" s="5">
        <v>1492211</v>
      </c>
      <c r="H653" s="38" t="s">
        <v>523</v>
      </c>
      <c r="I653" s="5" t="s">
        <v>253</v>
      </c>
      <c r="J653" s="5">
        <v>1</v>
      </c>
      <c r="K653" s="5" t="s">
        <v>508</v>
      </c>
      <c r="L653" s="5" t="s">
        <v>509</v>
      </c>
      <c r="M653" s="5" t="s">
        <v>94</v>
      </c>
      <c r="N653" s="5" t="s">
        <v>110</v>
      </c>
      <c r="O653" s="4"/>
      <c r="P653" s="8">
        <f t="shared" ref="P653:P655" si="180">SUM(Q653,R653)</f>
        <v>1</v>
      </c>
      <c r="Q653" s="8">
        <f t="shared" ref="Q653:Q655" si="181">S653</f>
        <v>0</v>
      </c>
      <c r="R653" s="8">
        <f t="shared" ref="R653:R655" si="182">SUM(T653:BX653)</f>
        <v>1</v>
      </c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>
        <v>1</v>
      </c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Z653" t="s">
        <v>565</v>
      </c>
    </row>
    <row r="654" spans="1:78" ht="16.5" customHeight="1" x14ac:dyDescent="0.3">
      <c r="A654" t="s">
        <v>573</v>
      </c>
      <c r="B654" t="s">
        <v>846</v>
      </c>
      <c r="C654" t="s">
        <v>858</v>
      </c>
      <c r="D654" t="s">
        <v>869</v>
      </c>
      <c r="E654" t="s">
        <v>860</v>
      </c>
      <c r="F654" t="s">
        <v>852</v>
      </c>
      <c r="G654" s="5">
        <v>1492212</v>
      </c>
      <c r="H654" s="38" t="s">
        <v>524</v>
      </c>
      <c r="I654" s="5" t="s">
        <v>253</v>
      </c>
      <c r="J654" s="5">
        <v>1</v>
      </c>
      <c r="K654" s="5" t="s">
        <v>102</v>
      </c>
      <c r="L654" s="5" t="s">
        <v>109</v>
      </c>
      <c r="M654" s="5" t="s">
        <v>94</v>
      </c>
      <c r="N654" s="5" t="s">
        <v>48</v>
      </c>
      <c r="O654" s="4"/>
      <c r="P654" s="8">
        <f t="shared" si="180"/>
        <v>9</v>
      </c>
      <c r="Q654" s="8">
        <f t="shared" si="181"/>
        <v>0</v>
      </c>
      <c r="R654" s="8">
        <f t="shared" si="182"/>
        <v>9</v>
      </c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>
        <v>1</v>
      </c>
      <c r="AJ654" s="8"/>
      <c r="AK654" s="8"/>
      <c r="AL654" s="8"/>
      <c r="AM654" s="8"/>
      <c r="AN654" s="8">
        <v>3</v>
      </c>
      <c r="AO654" s="8"/>
      <c r="AP654" s="8"/>
      <c r="AQ654" s="8"/>
      <c r="AR654" s="8"/>
      <c r="AS654" s="8"/>
      <c r="AT654" s="8"/>
      <c r="AU654" s="8"/>
      <c r="AV654" s="8"/>
      <c r="AW654" s="8">
        <v>2</v>
      </c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>
        <v>1</v>
      </c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>
        <v>1</v>
      </c>
      <c r="BU654" s="8"/>
      <c r="BV654" s="8">
        <v>1</v>
      </c>
      <c r="BW654" s="8"/>
      <c r="BX654" s="8"/>
      <c r="BZ654" t="s">
        <v>565</v>
      </c>
    </row>
    <row r="655" spans="1:78" ht="16.5" customHeight="1" x14ac:dyDescent="0.3">
      <c r="A655" t="s">
        <v>573</v>
      </c>
      <c r="B655" t="s">
        <v>846</v>
      </c>
      <c r="C655" t="s">
        <v>858</v>
      </c>
      <c r="D655" t="s">
        <v>869</v>
      </c>
      <c r="E655" t="s">
        <v>860</v>
      </c>
      <c r="F655" t="s">
        <v>861</v>
      </c>
      <c r="G655" s="5">
        <v>1492213</v>
      </c>
      <c r="H655" s="38" t="s">
        <v>525</v>
      </c>
      <c r="I655" s="5" t="s">
        <v>253</v>
      </c>
      <c r="J655" s="5">
        <v>1</v>
      </c>
      <c r="K655" s="5" t="s">
        <v>102</v>
      </c>
      <c r="L655" s="5" t="s">
        <v>109</v>
      </c>
      <c r="M655" s="5" t="s">
        <v>94</v>
      </c>
      <c r="N655" s="5" t="s">
        <v>48</v>
      </c>
      <c r="O655" s="4"/>
      <c r="P655" s="8">
        <f t="shared" si="180"/>
        <v>11</v>
      </c>
      <c r="Q655" s="8">
        <f t="shared" si="181"/>
        <v>0</v>
      </c>
      <c r="R655" s="8">
        <f t="shared" si="182"/>
        <v>11</v>
      </c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>
        <v>1</v>
      </c>
      <c r="AJ655" s="8"/>
      <c r="AK655" s="8"/>
      <c r="AL655" s="8"/>
      <c r="AM655" s="8"/>
      <c r="AN655" s="8">
        <v>6</v>
      </c>
      <c r="AO655" s="8"/>
      <c r="AP655" s="8"/>
      <c r="AQ655" s="8"/>
      <c r="AR655" s="8"/>
      <c r="AS655" s="8"/>
      <c r="AT655" s="8"/>
      <c r="AU655" s="8"/>
      <c r="AV655" s="8"/>
      <c r="AW655" s="8">
        <v>3</v>
      </c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>
        <v>1</v>
      </c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Z655" t="s">
        <v>565</v>
      </c>
    </row>
    <row r="656" spans="1:78" ht="16.5" customHeight="1" x14ac:dyDescent="0.3">
      <c r="G656" s="10">
        <v>1492162</v>
      </c>
      <c r="H656" s="11" t="s">
        <v>543</v>
      </c>
      <c r="I656" s="10" t="s">
        <v>253</v>
      </c>
      <c r="J656" s="10">
        <v>1</v>
      </c>
      <c r="K656" s="10" t="s">
        <v>502</v>
      </c>
      <c r="L656" s="10" t="s">
        <v>503</v>
      </c>
      <c r="M656" s="10" t="s">
        <v>94</v>
      </c>
      <c r="N656" s="10" t="s">
        <v>221</v>
      </c>
      <c r="O656" s="9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</row>
    <row r="657" spans="1:78" ht="16.5" customHeight="1" x14ac:dyDescent="0.3">
      <c r="A657" t="s">
        <v>573</v>
      </c>
      <c r="B657" t="s">
        <v>846</v>
      </c>
      <c r="C657" t="s">
        <v>858</v>
      </c>
      <c r="D657" t="s">
        <v>870</v>
      </c>
      <c r="E657" t="s">
        <v>870</v>
      </c>
      <c r="F657" t="s">
        <v>870</v>
      </c>
      <c r="G657" s="5">
        <v>1492162</v>
      </c>
      <c r="H657" s="7" t="s">
        <v>544</v>
      </c>
      <c r="I657" s="5" t="s">
        <v>253</v>
      </c>
      <c r="J657" s="5">
        <v>1</v>
      </c>
      <c r="K657" s="5" t="s">
        <v>502</v>
      </c>
      <c r="L657" s="5" t="s">
        <v>503</v>
      </c>
      <c r="M657" s="5" t="s">
        <v>94</v>
      </c>
      <c r="N657" s="5" t="s">
        <v>221</v>
      </c>
      <c r="O657" s="4"/>
      <c r="P657" s="8">
        <f t="shared" ref="P657:P658" si="183">SUM(Q657,R657)</f>
        <v>1</v>
      </c>
      <c r="Q657" s="8">
        <f t="shared" ref="Q657:Q658" si="184">S657</f>
        <v>0</v>
      </c>
      <c r="R657" s="8">
        <f t="shared" ref="R657:R658" si="185">SUM(T657:BX657)</f>
        <v>1</v>
      </c>
      <c r="S657" s="8"/>
      <c r="T657" s="8"/>
      <c r="U657" s="8"/>
      <c r="V657" s="8"/>
      <c r="W657" s="8"/>
      <c r="X657" s="8"/>
      <c r="Y657" s="8">
        <v>1</v>
      </c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Z657" t="s">
        <v>565</v>
      </c>
    </row>
    <row r="658" spans="1:78" ht="16.5" customHeight="1" x14ac:dyDescent="0.3">
      <c r="A658" t="s">
        <v>573</v>
      </c>
      <c r="B658" t="s">
        <v>846</v>
      </c>
      <c r="C658" t="s">
        <v>858</v>
      </c>
      <c r="D658" t="s">
        <v>870</v>
      </c>
      <c r="E658" t="s">
        <v>860</v>
      </c>
      <c r="F658" t="s">
        <v>860</v>
      </c>
      <c r="G658" s="5">
        <v>1492163</v>
      </c>
      <c r="H658" s="7" t="s">
        <v>522</v>
      </c>
      <c r="I658" s="5" t="s">
        <v>253</v>
      </c>
      <c r="J658" s="5">
        <v>1</v>
      </c>
      <c r="K658" s="5" t="s">
        <v>508</v>
      </c>
      <c r="L658" s="5" t="s">
        <v>509</v>
      </c>
      <c r="M658" s="5" t="s">
        <v>94</v>
      </c>
      <c r="N658" s="5" t="s">
        <v>48</v>
      </c>
      <c r="O658" s="4"/>
      <c r="P658" s="8">
        <f t="shared" si="183"/>
        <v>18</v>
      </c>
      <c r="Q658" s="8">
        <f t="shared" si="184"/>
        <v>0</v>
      </c>
      <c r="R658" s="8">
        <f t="shared" si="185"/>
        <v>18</v>
      </c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>
        <v>1</v>
      </c>
      <c r="AJ658" s="8"/>
      <c r="AK658" s="8"/>
      <c r="AL658" s="8"/>
      <c r="AM658" s="8"/>
      <c r="AN658" s="8">
        <v>9</v>
      </c>
      <c r="AO658" s="8"/>
      <c r="AP658" s="8"/>
      <c r="AQ658" s="8"/>
      <c r="AR658" s="8"/>
      <c r="AS658" s="8"/>
      <c r="AT658" s="8"/>
      <c r="AU658" s="8"/>
      <c r="AV658" s="8"/>
      <c r="AW658" s="8">
        <v>5</v>
      </c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>
        <v>1</v>
      </c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>
        <v>1</v>
      </c>
      <c r="BU658" s="8"/>
      <c r="BV658" s="8">
        <v>1</v>
      </c>
      <c r="BW658" s="8"/>
      <c r="BX658" s="8"/>
      <c r="BZ658" t="s">
        <v>565</v>
      </c>
    </row>
    <row r="659" spans="1:78" ht="16.5" customHeight="1" x14ac:dyDescent="0.3">
      <c r="G659" s="10">
        <v>1492174</v>
      </c>
      <c r="H659" s="11" t="s">
        <v>545</v>
      </c>
      <c r="I659" s="10" t="s">
        <v>253</v>
      </c>
      <c r="J659" s="10">
        <v>1</v>
      </c>
      <c r="K659" s="10" t="s">
        <v>502</v>
      </c>
      <c r="L659" s="10" t="s">
        <v>503</v>
      </c>
      <c r="M659" s="10" t="s">
        <v>94</v>
      </c>
      <c r="N659" s="10" t="s">
        <v>221</v>
      </c>
      <c r="O659" s="9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</row>
    <row r="660" spans="1:78" ht="16.5" customHeight="1" x14ac:dyDescent="0.3">
      <c r="A660" t="s">
        <v>573</v>
      </c>
      <c r="B660" t="s">
        <v>846</v>
      </c>
      <c r="C660" t="s">
        <v>858</v>
      </c>
      <c r="D660" t="s">
        <v>871</v>
      </c>
      <c r="E660" t="s">
        <v>871</v>
      </c>
      <c r="F660" t="s">
        <v>871</v>
      </c>
      <c r="G660" s="5">
        <v>1492174</v>
      </c>
      <c r="H660" s="7" t="s">
        <v>546</v>
      </c>
      <c r="I660" s="5" t="s">
        <v>253</v>
      </c>
      <c r="J660" s="5">
        <v>1</v>
      </c>
      <c r="K660" s="5" t="s">
        <v>502</v>
      </c>
      <c r="L660" s="5" t="s">
        <v>503</v>
      </c>
      <c r="M660" s="5" t="s">
        <v>94</v>
      </c>
      <c r="N660" s="5" t="s">
        <v>221</v>
      </c>
      <c r="O660" s="4"/>
      <c r="P660" s="8">
        <f t="shared" ref="P660:P661" si="186">SUM(Q660,R660)</f>
        <v>1</v>
      </c>
      <c r="Q660" s="8">
        <f t="shared" ref="Q660:Q661" si="187">S660</f>
        <v>0</v>
      </c>
      <c r="R660" s="8">
        <f t="shared" ref="R660:R661" si="188">SUM(T660:BX660)</f>
        <v>1</v>
      </c>
      <c r="S660" s="8"/>
      <c r="T660" s="8"/>
      <c r="U660" s="8"/>
      <c r="V660" s="8"/>
      <c r="W660" s="8"/>
      <c r="X660" s="8"/>
      <c r="Y660" s="8">
        <v>1</v>
      </c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Z660" t="s">
        <v>565</v>
      </c>
    </row>
    <row r="661" spans="1:78" ht="16.5" customHeight="1" x14ac:dyDescent="0.3">
      <c r="A661" t="s">
        <v>573</v>
      </c>
      <c r="B661" t="s">
        <v>846</v>
      </c>
      <c r="C661" t="s">
        <v>858</v>
      </c>
      <c r="D661" t="s">
        <v>871</v>
      </c>
      <c r="E661" t="s">
        <v>860</v>
      </c>
      <c r="F661" t="s">
        <v>860</v>
      </c>
      <c r="G661" s="5">
        <v>1492175</v>
      </c>
      <c r="H661" s="7" t="s">
        <v>522</v>
      </c>
      <c r="I661" s="5" t="s">
        <v>253</v>
      </c>
      <c r="J661" s="5">
        <v>1</v>
      </c>
      <c r="K661" s="5" t="s">
        <v>508</v>
      </c>
      <c r="L661" s="5" t="s">
        <v>509</v>
      </c>
      <c r="M661" s="5" t="s">
        <v>94</v>
      </c>
      <c r="N661" s="5" t="s">
        <v>48</v>
      </c>
      <c r="O661" s="4"/>
      <c r="P661" s="8">
        <f t="shared" si="186"/>
        <v>13</v>
      </c>
      <c r="Q661" s="8">
        <f t="shared" si="187"/>
        <v>0</v>
      </c>
      <c r="R661" s="8">
        <f t="shared" si="188"/>
        <v>13</v>
      </c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>
        <v>1</v>
      </c>
      <c r="AJ661" s="8"/>
      <c r="AK661" s="8"/>
      <c r="AL661" s="8"/>
      <c r="AM661" s="8"/>
      <c r="AN661" s="8">
        <v>4</v>
      </c>
      <c r="AO661" s="8"/>
      <c r="AP661" s="8"/>
      <c r="AQ661" s="8"/>
      <c r="AR661" s="8"/>
      <c r="AS661" s="8"/>
      <c r="AT661" s="8"/>
      <c r="AU661" s="8"/>
      <c r="AV661" s="8"/>
      <c r="AW661" s="8">
        <v>5</v>
      </c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>
        <v>1</v>
      </c>
      <c r="BI661" s="8"/>
      <c r="BJ661" s="8"/>
      <c r="BK661" s="8"/>
      <c r="BL661" s="8"/>
      <c r="BM661" s="8"/>
      <c r="BN661" s="8"/>
      <c r="BO661" s="8">
        <v>1</v>
      </c>
      <c r="BP661" s="8"/>
      <c r="BQ661" s="8"/>
      <c r="BR661" s="8"/>
      <c r="BS661" s="8"/>
      <c r="BT661" s="8"/>
      <c r="BU661" s="8"/>
      <c r="BV661" s="8">
        <v>1</v>
      </c>
      <c r="BW661" s="8"/>
      <c r="BX661" s="8"/>
      <c r="BZ661" t="s">
        <v>565</v>
      </c>
    </row>
    <row r="662" spans="1:78" ht="16.5" customHeight="1" x14ac:dyDescent="0.3">
      <c r="G662" s="10">
        <v>1494912</v>
      </c>
      <c r="H662" s="11" t="s">
        <v>547</v>
      </c>
      <c r="I662" s="10" t="s">
        <v>253</v>
      </c>
      <c r="J662" s="10">
        <v>1</v>
      </c>
      <c r="K662" s="10" t="s">
        <v>502</v>
      </c>
      <c r="L662" s="10" t="s">
        <v>503</v>
      </c>
      <c r="M662" s="10" t="s">
        <v>94</v>
      </c>
      <c r="N662" s="10" t="s">
        <v>221</v>
      </c>
      <c r="O662" s="9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</row>
    <row r="663" spans="1:78" ht="16.5" customHeight="1" x14ac:dyDescent="0.3">
      <c r="A663" t="s">
        <v>573</v>
      </c>
      <c r="B663" t="s">
        <v>846</v>
      </c>
      <c r="C663" t="s">
        <v>858</v>
      </c>
      <c r="D663" t="s">
        <v>872</v>
      </c>
      <c r="E663" t="s">
        <v>872</v>
      </c>
      <c r="F663" t="s">
        <v>872</v>
      </c>
      <c r="G663" s="5">
        <v>1494912</v>
      </c>
      <c r="H663" s="7" t="s">
        <v>548</v>
      </c>
      <c r="I663" s="5" t="s">
        <v>253</v>
      </c>
      <c r="J663" s="5">
        <v>1</v>
      </c>
      <c r="K663" s="5" t="s">
        <v>502</v>
      </c>
      <c r="L663" s="5" t="s">
        <v>503</v>
      </c>
      <c r="M663" s="5" t="s">
        <v>94</v>
      </c>
      <c r="N663" s="5" t="s">
        <v>221</v>
      </c>
      <c r="O663" s="4"/>
      <c r="P663" s="8">
        <f t="shared" ref="P663:P664" si="189">SUM(Q663,R663)</f>
        <v>1</v>
      </c>
      <c r="Q663" s="8">
        <f t="shared" ref="Q663:Q664" si="190">S663</f>
        <v>0</v>
      </c>
      <c r="R663" s="8">
        <f t="shared" ref="R663:R664" si="191">SUM(T663:BX663)</f>
        <v>1</v>
      </c>
      <c r="S663" s="8"/>
      <c r="T663" s="8"/>
      <c r="U663" s="8"/>
      <c r="V663" s="8"/>
      <c r="W663" s="8"/>
      <c r="X663" s="8"/>
      <c r="Y663" s="8">
        <v>1</v>
      </c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Z663" t="s">
        <v>565</v>
      </c>
    </row>
    <row r="664" spans="1:78" ht="16.5" customHeight="1" x14ac:dyDescent="0.3">
      <c r="A664" t="s">
        <v>573</v>
      </c>
      <c r="B664" t="s">
        <v>846</v>
      </c>
      <c r="C664" t="s">
        <v>858</v>
      </c>
      <c r="D664" t="s">
        <v>872</v>
      </c>
      <c r="E664" t="s">
        <v>860</v>
      </c>
      <c r="F664" t="s">
        <v>860</v>
      </c>
      <c r="G664" s="5">
        <v>1494913</v>
      </c>
      <c r="H664" s="7" t="s">
        <v>522</v>
      </c>
      <c r="I664" s="5" t="s">
        <v>253</v>
      </c>
      <c r="J664" s="5">
        <v>1</v>
      </c>
      <c r="K664" s="5" t="s">
        <v>508</v>
      </c>
      <c r="L664" s="5" t="s">
        <v>509</v>
      </c>
      <c r="M664" s="5" t="s">
        <v>94</v>
      </c>
      <c r="N664" s="5" t="s">
        <v>48</v>
      </c>
      <c r="O664" s="4"/>
      <c r="P664" s="8">
        <f t="shared" si="189"/>
        <v>13</v>
      </c>
      <c r="Q664" s="8">
        <f t="shared" si="190"/>
        <v>0</v>
      </c>
      <c r="R664" s="8">
        <f t="shared" si="191"/>
        <v>13</v>
      </c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>
        <v>1</v>
      </c>
      <c r="AK664" s="8"/>
      <c r="AL664" s="8"/>
      <c r="AM664" s="8"/>
      <c r="AN664" s="8">
        <v>5</v>
      </c>
      <c r="AO664" s="8"/>
      <c r="AP664" s="8"/>
      <c r="AQ664" s="8"/>
      <c r="AR664" s="8"/>
      <c r="AS664" s="8"/>
      <c r="AT664" s="8"/>
      <c r="AU664" s="8"/>
      <c r="AV664" s="8"/>
      <c r="AW664" s="8">
        <v>6</v>
      </c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>
        <v>1</v>
      </c>
      <c r="BV664" s="8"/>
      <c r="BW664" s="8"/>
      <c r="BX664" s="8"/>
      <c r="BZ664" t="s">
        <v>565</v>
      </c>
    </row>
    <row r="665" spans="1:78" ht="16.5" customHeight="1" x14ac:dyDescent="0.3">
      <c r="G665" s="10">
        <v>1492178</v>
      </c>
      <c r="H665" s="11" t="s">
        <v>549</v>
      </c>
      <c r="I665" s="10" t="s">
        <v>253</v>
      </c>
      <c r="J665" s="10">
        <v>1</v>
      </c>
      <c r="K665" s="10" t="s">
        <v>502</v>
      </c>
      <c r="L665" s="10" t="s">
        <v>503</v>
      </c>
      <c r="M665" s="10" t="s">
        <v>94</v>
      </c>
      <c r="N665" s="10" t="s">
        <v>221</v>
      </c>
      <c r="O665" s="9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</row>
    <row r="666" spans="1:78" ht="16.5" customHeight="1" x14ac:dyDescent="0.3">
      <c r="A666" t="s">
        <v>573</v>
      </c>
      <c r="B666" t="s">
        <v>846</v>
      </c>
      <c r="C666" t="s">
        <v>858</v>
      </c>
      <c r="D666" t="s">
        <v>873</v>
      </c>
      <c r="E666" t="s">
        <v>873</v>
      </c>
      <c r="F666" t="s">
        <v>873</v>
      </c>
      <c r="G666" s="5">
        <v>1492178</v>
      </c>
      <c r="H666" s="7" t="s">
        <v>550</v>
      </c>
      <c r="I666" s="5" t="s">
        <v>253</v>
      </c>
      <c r="J666" s="5">
        <v>1</v>
      </c>
      <c r="K666" s="5" t="s">
        <v>502</v>
      </c>
      <c r="L666" s="5" t="s">
        <v>503</v>
      </c>
      <c r="M666" s="5" t="s">
        <v>94</v>
      </c>
      <c r="N666" s="5" t="s">
        <v>221</v>
      </c>
      <c r="O666" s="4"/>
      <c r="P666" s="8">
        <f t="shared" ref="P666:P667" si="192">SUM(Q666,R666)</f>
        <v>1</v>
      </c>
      <c r="Q666" s="8">
        <f t="shared" ref="Q666:Q667" si="193">S666</f>
        <v>0</v>
      </c>
      <c r="R666" s="8">
        <f t="shared" ref="R666:R667" si="194">SUM(T666:BX666)</f>
        <v>1</v>
      </c>
      <c r="S666" s="8"/>
      <c r="T666" s="8"/>
      <c r="U666" s="8"/>
      <c r="V666" s="8"/>
      <c r="W666" s="8"/>
      <c r="X666" s="8"/>
      <c r="Y666" s="8">
        <v>1</v>
      </c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Z666" t="s">
        <v>565</v>
      </c>
    </row>
    <row r="667" spans="1:78" ht="16.5" customHeight="1" x14ac:dyDescent="0.3">
      <c r="A667" t="s">
        <v>573</v>
      </c>
      <c r="B667" t="s">
        <v>846</v>
      </c>
      <c r="C667" t="s">
        <v>858</v>
      </c>
      <c r="D667" t="s">
        <v>873</v>
      </c>
      <c r="E667" t="s">
        <v>860</v>
      </c>
      <c r="F667" t="s">
        <v>860</v>
      </c>
      <c r="G667" s="5">
        <v>1492179</v>
      </c>
      <c r="H667" s="7" t="s">
        <v>522</v>
      </c>
      <c r="I667" s="5" t="s">
        <v>253</v>
      </c>
      <c r="J667" s="5">
        <v>1</v>
      </c>
      <c r="K667" s="5" t="s">
        <v>508</v>
      </c>
      <c r="L667" s="5" t="s">
        <v>509</v>
      </c>
      <c r="M667" s="5" t="s">
        <v>94</v>
      </c>
      <c r="N667" s="5" t="s">
        <v>48</v>
      </c>
      <c r="O667" s="4"/>
      <c r="P667" s="8">
        <f t="shared" si="192"/>
        <v>12</v>
      </c>
      <c r="Q667" s="8">
        <f t="shared" si="193"/>
        <v>0</v>
      </c>
      <c r="R667" s="8">
        <f t="shared" si="194"/>
        <v>12</v>
      </c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>
        <v>1</v>
      </c>
      <c r="AJ667" s="8"/>
      <c r="AK667" s="8"/>
      <c r="AL667" s="8"/>
      <c r="AM667" s="8"/>
      <c r="AN667" s="8">
        <v>5</v>
      </c>
      <c r="AO667" s="8"/>
      <c r="AP667" s="8"/>
      <c r="AQ667" s="8"/>
      <c r="AR667" s="8"/>
      <c r="AS667" s="8"/>
      <c r="AT667" s="8"/>
      <c r="AU667" s="8"/>
      <c r="AV667" s="8"/>
      <c r="AW667" s="8">
        <v>3</v>
      </c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>
        <v>1</v>
      </c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>
        <v>1</v>
      </c>
      <c r="BU667" s="8"/>
      <c r="BV667" s="8">
        <v>1</v>
      </c>
      <c r="BW667" s="8"/>
      <c r="BX667" s="8"/>
      <c r="BZ667" t="s">
        <v>565</v>
      </c>
    </row>
    <row r="668" spans="1:78" ht="16.5" customHeight="1" x14ac:dyDescent="0.3">
      <c r="G668" s="10">
        <v>1492190</v>
      </c>
      <c r="H668" s="11" t="s">
        <v>551</v>
      </c>
      <c r="I668" s="10" t="s">
        <v>253</v>
      </c>
      <c r="J668" s="10">
        <v>1</v>
      </c>
      <c r="K668" s="10" t="s">
        <v>502</v>
      </c>
      <c r="L668" s="10" t="s">
        <v>503</v>
      </c>
      <c r="M668" s="10" t="s">
        <v>94</v>
      </c>
      <c r="N668" s="10" t="s">
        <v>221</v>
      </c>
      <c r="O668" s="9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</row>
    <row r="669" spans="1:78" ht="16.5" customHeight="1" x14ac:dyDescent="0.3">
      <c r="A669" t="s">
        <v>573</v>
      </c>
      <c r="B669" t="s">
        <v>846</v>
      </c>
      <c r="C669" t="s">
        <v>858</v>
      </c>
      <c r="D669" t="s">
        <v>874</v>
      </c>
      <c r="E669" t="s">
        <v>874</v>
      </c>
      <c r="F669" t="s">
        <v>874</v>
      </c>
      <c r="G669" s="5">
        <v>1492190</v>
      </c>
      <c r="H669" s="7" t="s">
        <v>552</v>
      </c>
      <c r="I669" s="5" t="s">
        <v>253</v>
      </c>
      <c r="J669" s="5">
        <v>1</v>
      </c>
      <c r="K669" s="5" t="s">
        <v>502</v>
      </c>
      <c r="L669" s="5" t="s">
        <v>503</v>
      </c>
      <c r="M669" s="5" t="s">
        <v>94</v>
      </c>
      <c r="N669" s="5" t="s">
        <v>221</v>
      </c>
      <c r="O669" s="4"/>
      <c r="P669" s="8">
        <f t="shared" ref="P669:P670" si="195">SUM(Q669,R669)</f>
        <v>1</v>
      </c>
      <c r="Q669" s="8">
        <f t="shared" ref="Q669:Q670" si="196">S669</f>
        <v>0</v>
      </c>
      <c r="R669" s="8">
        <f t="shared" ref="R669:R670" si="197">SUM(T669:BX669)</f>
        <v>1</v>
      </c>
      <c r="S669" s="8"/>
      <c r="T669" s="8"/>
      <c r="U669" s="8"/>
      <c r="V669" s="8"/>
      <c r="W669" s="8"/>
      <c r="X669" s="8"/>
      <c r="Y669" s="8">
        <v>1</v>
      </c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Z669" t="s">
        <v>565</v>
      </c>
    </row>
    <row r="670" spans="1:78" ht="16.5" customHeight="1" x14ac:dyDescent="0.3">
      <c r="A670" t="s">
        <v>573</v>
      </c>
      <c r="B670" t="s">
        <v>846</v>
      </c>
      <c r="C670" t="s">
        <v>858</v>
      </c>
      <c r="D670" t="s">
        <v>874</v>
      </c>
      <c r="E670" t="s">
        <v>860</v>
      </c>
      <c r="F670" t="s">
        <v>860</v>
      </c>
      <c r="G670" s="5">
        <v>1492191</v>
      </c>
      <c r="H670" s="7" t="s">
        <v>522</v>
      </c>
      <c r="I670" s="5" t="s">
        <v>253</v>
      </c>
      <c r="J670" s="5">
        <v>1</v>
      </c>
      <c r="K670" s="5" t="s">
        <v>508</v>
      </c>
      <c r="L670" s="5" t="s">
        <v>509</v>
      </c>
      <c r="M670" s="5" t="s">
        <v>94</v>
      </c>
      <c r="N670" s="5" t="s">
        <v>48</v>
      </c>
      <c r="O670" s="4"/>
      <c r="P670" s="8">
        <f t="shared" si="195"/>
        <v>15</v>
      </c>
      <c r="Q670" s="8">
        <f t="shared" si="196"/>
        <v>0</v>
      </c>
      <c r="R670" s="8">
        <f t="shared" si="197"/>
        <v>15</v>
      </c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>
        <v>1</v>
      </c>
      <c r="AJ670" s="8"/>
      <c r="AK670" s="8"/>
      <c r="AL670" s="8"/>
      <c r="AM670" s="8"/>
      <c r="AN670" s="8">
        <v>5</v>
      </c>
      <c r="AO670" s="8"/>
      <c r="AP670" s="8"/>
      <c r="AQ670" s="8"/>
      <c r="AR670" s="8"/>
      <c r="AS670" s="8"/>
      <c r="AT670" s="8"/>
      <c r="AU670" s="8"/>
      <c r="AV670" s="8"/>
      <c r="AW670" s="8">
        <v>6</v>
      </c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>
        <v>1</v>
      </c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>
        <v>1</v>
      </c>
      <c r="BU670" s="8"/>
      <c r="BV670" s="8">
        <v>1</v>
      </c>
      <c r="BW670" s="8"/>
      <c r="BX670" s="8"/>
      <c r="BZ670" t="s">
        <v>565</v>
      </c>
    </row>
    <row r="671" spans="1:78" ht="16.5" customHeight="1" x14ac:dyDescent="0.3">
      <c r="G671" s="10">
        <v>1492865</v>
      </c>
      <c r="H671" s="11" t="s">
        <v>553</v>
      </c>
      <c r="I671" s="10" t="s">
        <v>253</v>
      </c>
      <c r="J671" s="10">
        <v>1</v>
      </c>
      <c r="K671" s="10" t="s">
        <v>502</v>
      </c>
      <c r="L671" s="10" t="s">
        <v>554</v>
      </c>
      <c r="M671" s="10" t="s">
        <v>94</v>
      </c>
      <c r="N671" s="10" t="s">
        <v>197</v>
      </c>
      <c r="O671" s="9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</row>
    <row r="672" spans="1:78" ht="16.5" customHeight="1" x14ac:dyDescent="0.3">
      <c r="A672" t="s">
        <v>573</v>
      </c>
      <c r="B672" t="s">
        <v>875</v>
      </c>
      <c r="C672" t="s">
        <v>875</v>
      </c>
      <c r="D672" t="s">
        <v>875</v>
      </c>
      <c r="E672" t="s">
        <v>875</v>
      </c>
      <c r="F672" t="s">
        <v>875</v>
      </c>
      <c r="G672" s="5">
        <v>1492865</v>
      </c>
      <c r="H672" s="38" t="s">
        <v>555</v>
      </c>
      <c r="I672" s="5" t="s">
        <v>253</v>
      </c>
      <c r="J672" s="5">
        <v>1</v>
      </c>
      <c r="K672" s="5" t="s">
        <v>502</v>
      </c>
      <c r="L672" s="5" t="s">
        <v>554</v>
      </c>
      <c r="M672" s="5" t="s">
        <v>94</v>
      </c>
      <c r="N672" s="5" t="s">
        <v>197</v>
      </c>
      <c r="O672" s="4"/>
      <c r="P672" s="8">
        <f t="shared" ref="P672:P674" si="198">SUM(Q672,R672)</f>
        <v>0</v>
      </c>
      <c r="Q672" s="8">
        <f t="shared" ref="Q672:Q674" si="199">S672</f>
        <v>0</v>
      </c>
      <c r="R672" s="8">
        <f t="shared" ref="R672:R674" si="200">SUM(T672:BX672)</f>
        <v>0</v>
      </c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Z672" t="s">
        <v>565</v>
      </c>
    </row>
    <row r="673" spans="1:78" ht="16.5" customHeight="1" x14ac:dyDescent="0.3">
      <c r="A673" t="s">
        <v>573</v>
      </c>
      <c r="B673" t="s">
        <v>875</v>
      </c>
      <c r="C673" t="s">
        <v>875</v>
      </c>
      <c r="D673" t="s">
        <v>875</v>
      </c>
      <c r="E673" t="s">
        <v>848</v>
      </c>
      <c r="F673" t="s">
        <v>848</v>
      </c>
      <c r="G673" s="5">
        <v>1492958</v>
      </c>
      <c r="H673" s="38" t="s">
        <v>505</v>
      </c>
      <c r="I673" s="5" t="s">
        <v>253</v>
      </c>
      <c r="J673" s="5">
        <v>1</v>
      </c>
      <c r="K673" s="5" t="s">
        <v>220</v>
      </c>
      <c r="L673" s="5" t="s">
        <v>220</v>
      </c>
      <c r="M673" s="5" t="s">
        <v>94</v>
      </c>
      <c r="N673" s="5" t="s">
        <v>221</v>
      </c>
      <c r="O673" s="4"/>
      <c r="P673" s="8">
        <f t="shared" si="198"/>
        <v>1</v>
      </c>
      <c r="Q673" s="8">
        <f t="shared" si="199"/>
        <v>0</v>
      </c>
      <c r="R673" s="8">
        <f t="shared" si="200"/>
        <v>1</v>
      </c>
      <c r="S673" s="8"/>
      <c r="T673" s="8"/>
      <c r="U673" s="8"/>
      <c r="V673" s="8"/>
      <c r="W673" s="8"/>
      <c r="X673" s="8"/>
      <c r="Y673" s="8"/>
      <c r="Z673" s="8">
        <v>1</v>
      </c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Z673" t="s">
        <v>565</v>
      </c>
    </row>
    <row r="674" spans="1:78" ht="16.5" customHeight="1" x14ac:dyDescent="0.3">
      <c r="A674" t="s">
        <v>573</v>
      </c>
      <c r="B674" t="s">
        <v>875</v>
      </c>
      <c r="C674" t="s">
        <v>875</v>
      </c>
      <c r="D674" t="s">
        <v>875</v>
      </c>
      <c r="E674" t="s">
        <v>860</v>
      </c>
      <c r="F674" t="s">
        <v>860</v>
      </c>
      <c r="G674" s="5">
        <v>1492866</v>
      </c>
      <c r="H674" s="38" t="s">
        <v>522</v>
      </c>
      <c r="I674" s="5" t="s">
        <v>253</v>
      </c>
      <c r="J674" s="5">
        <v>1</v>
      </c>
      <c r="K674" s="5" t="s">
        <v>508</v>
      </c>
      <c r="L674" s="5" t="s">
        <v>509</v>
      </c>
      <c r="M674" s="5" t="s">
        <v>94</v>
      </c>
      <c r="N674" s="5" t="s">
        <v>113</v>
      </c>
      <c r="O674" s="4"/>
      <c r="P674" s="8">
        <f t="shared" si="198"/>
        <v>9</v>
      </c>
      <c r="Q674" s="8">
        <f t="shared" si="199"/>
        <v>0</v>
      </c>
      <c r="R674" s="8">
        <f t="shared" si="200"/>
        <v>9</v>
      </c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>
        <v>1</v>
      </c>
      <c r="AF674" s="8"/>
      <c r="AG674" s="8"/>
      <c r="AH674" s="8"/>
      <c r="AI674" s="8"/>
      <c r="AJ674" s="8"/>
      <c r="AK674" s="8"/>
      <c r="AL674" s="8"/>
      <c r="AM674" s="8"/>
      <c r="AN674" s="8">
        <v>1</v>
      </c>
      <c r="AO674" s="8">
        <v>3</v>
      </c>
      <c r="AP674" s="8"/>
      <c r="AQ674" s="8"/>
      <c r="AR674" s="8"/>
      <c r="AS674" s="8"/>
      <c r="AT674" s="8"/>
      <c r="AU674" s="8"/>
      <c r="AV674" s="8"/>
      <c r="AW674" s="8">
        <v>2</v>
      </c>
      <c r="AX674" s="8">
        <v>1</v>
      </c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>
        <v>1</v>
      </c>
      <c r="BW674" s="8"/>
      <c r="BX674" s="8"/>
      <c r="BZ674" t="s">
        <v>565</v>
      </c>
    </row>
    <row r="675" spans="1:78" ht="16.5" customHeight="1" x14ac:dyDescent="0.3">
      <c r="G675" s="10">
        <v>1493691</v>
      </c>
      <c r="H675" s="11" t="s">
        <v>556</v>
      </c>
      <c r="I675" s="10" t="s">
        <v>253</v>
      </c>
      <c r="J675" s="10">
        <v>1</v>
      </c>
      <c r="K675" s="10" t="s">
        <v>502</v>
      </c>
      <c r="L675" s="10" t="s">
        <v>503</v>
      </c>
      <c r="M675" s="10" t="s">
        <v>94</v>
      </c>
      <c r="N675" s="10" t="s">
        <v>221</v>
      </c>
      <c r="O675" s="9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</row>
    <row r="676" spans="1:78" ht="16.5" customHeight="1" x14ac:dyDescent="0.3">
      <c r="A676" t="s">
        <v>573</v>
      </c>
      <c r="B676" t="s">
        <v>876</v>
      </c>
      <c r="C676" t="s">
        <v>876</v>
      </c>
      <c r="D676" t="s">
        <v>876</v>
      </c>
      <c r="E676" t="s">
        <v>860</v>
      </c>
      <c r="F676" t="s">
        <v>860</v>
      </c>
      <c r="G676" s="5">
        <v>1493691</v>
      </c>
      <c r="H676" s="38" t="s">
        <v>557</v>
      </c>
      <c r="I676" s="5" t="s">
        <v>253</v>
      </c>
      <c r="J676" s="5">
        <v>1</v>
      </c>
      <c r="K676" s="5" t="s">
        <v>502</v>
      </c>
      <c r="L676" s="5" t="s">
        <v>503</v>
      </c>
      <c r="M676" s="5" t="s">
        <v>94</v>
      </c>
      <c r="N676" s="5" t="s">
        <v>221</v>
      </c>
      <c r="O676" s="4"/>
      <c r="P676" s="8">
        <f t="shared" ref="P676:P678" si="201">SUM(Q676,R676)</f>
        <v>1</v>
      </c>
      <c r="Q676" s="8">
        <f t="shared" ref="Q676:Q678" si="202">S676</f>
        <v>0</v>
      </c>
      <c r="R676" s="8">
        <f t="shared" ref="R676:R678" si="203">SUM(T676:BX676)</f>
        <v>1</v>
      </c>
      <c r="S676" s="8"/>
      <c r="T676" s="8"/>
      <c r="U676" s="8"/>
      <c r="V676" s="8"/>
      <c r="W676" s="8"/>
      <c r="X676" s="8"/>
      <c r="Y676" s="8"/>
      <c r="Z676" s="8">
        <v>1</v>
      </c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Z676" t="s">
        <v>565</v>
      </c>
    </row>
    <row r="677" spans="1:78" ht="16.5" customHeight="1" x14ac:dyDescent="0.3">
      <c r="A677" t="s">
        <v>573</v>
      </c>
      <c r="B677" t="s">
        <v>876</v>
      </c>
      <c r="C677" t="s">
        <v>876</v>
      </c>
      <c r="D677" t="s">
        <v>876</v>
      </c>
      <c r="E677" t="s">
        <v>848</v>
      </c>
      <c r="F677" t="s">
        <v>848</v>
      </c>
      <c r="G677" s="5">
        <v>1492959</v>
      </c>
      <c r="H677" s="38" t="s">
        <v>505</v>
      </c>
      <c r="I677" s="5" t="s">
        <v>253</v>
      </c>
      <c r="J677" s="5">
        <v>1</v>
      </c>
      <c r="K677" s="5" t="s">
        <v>220</v>
      </c>
      <c r="L677" s="5" t="s">
        <v>220</v>
      </c>
      <c r="M677" s="5" t="s">
        <v>94</v>
      </c>
      <c r="N677" s="5" t="s">
        <v>221</v>
      </c>
      <c r="O677" s="4"/>
      <c r="P677" s="8">
        <f t="shared" si="201"/>
        <v>0</v>
      </c>
      <c r="Q677" s="8">
        <f t="shared" si="202"/>
        <v>0</v>
      </c>
      <c r="R677" s="8">
        <f t="shared" si="203"/>
        <v>0</v>
      </c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Z677" t="s">
        <v>565</v>
      </c>
    </row>
    <row r="678" spans="1:78" ht="16.5" customHeight="1" x14ac:dyDescent="0.3">
      <c r="A678" t="s">
        <v>573</v>
      </c>
      <c r="B678" t="s">
        <v>876</v>
      </c>
      <c r="C678" t="s">
        <v>876</v>
      </c>
      <c r="D678" t="s">
        <v>876</v>
      </c>
      <c r="E678" t="s">
        <v>860</v>
      </c>
      <c r="F678" t="s">
        <v>860</v>
      </c>
      <c r="G678" s="5">
        <v>1493692</v>
      </c>
      <c r="H678" s="38" t="s">
        <v>522</v>
      </c>
      <c r="I678" s="5" t="s">
        <v>253</v>
      </c>
      <c r="J678" s="5">
        <v>1</v>
      </c>
      <c r="K678" s="5" t="s">
        <v>508</v>
      </c>
      <c r="L678" s="5" t="s">
        <v>509</v>
      </c>
      <c r="M678" s="5" t="s">
        <v>94</v>
      </c>
      <c r="N678" s="5" t="s">
        <v>119</v>
      </c>
      <c r="O678" s="4"/>
      <c r="P678" s="8">
        <f t="shared" si="201"/>
        <v>33</v>
      </c>
      <c r="Q678" s="8">
        <f t="shared" si="202"/>
        <v>0</v>
      </c>
      <c r="R678" s="8">
        <f t="shared" si="203"/>
        <v>33</v>
      </c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>
        <v>1</v>
      </c>
      <c r="AD678" s="8"/>
      <c r="AE678" s="8"/>
      <c r="AF678" s="8"/>
      <c r="AG678" s="8"/>
      <c r="AH678" s="8"/>
      <c r="AI678" s="8">
        <v>3</v>
      </c>
      <c r="AJ678" s="8"/>
      <c r="AK678" s="8"/>
      <c r="AL678" s="8"/>
      <c r="AM678" s="8"/>
      <c r="AN678" s="8">
        <v>9</v>
      </c>
      <c r="AO678" s="8"/>
      <c r="AP678" s="8"/>
      <c r="AQ678" s="8">
        <v>2</v>
      </c>
      <c r="AR678" s="8">
        <v>2</v>
      </c>
      <c r="AS678" s="8"/>
      <c r="AT678" s="8"/>
      <c r="AU678" s="8"/>
      <c r="AV678" s="8"/>
      <c r="AW678" s="8">
        <v>9</v>
      </c>
      <c r="AX678" s="8"/>
      <c r="AY678" s="8"/>
      <c r="AZ678" s="8">
        <v>4</v>
      </c>
      <c r="BA678" s="8">
        <v>2</v>
      </c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>
        <v>1</v>
      </c>
      <c r="BU678" s="8"/>
      <c r="BV678" s="8"/>
      <c r="BW678" s="8"/>
      <c r="BX678" s="8"/>
      <c r="BZ678" t="s">
        <v>565</v>
      </c>
    </row>
    <row r="679" spans="1:78" ht="16.5" customHeight="1" x14ac:dyDescent="0.3">
      <c r="G679" s="10">
        <v>1494890</v>
      </c>
      <c r="H679" s="11" t="s">
        <v>558</v>
      </c>
      <c r="I679" s="10" t="s">
        <v>253</v>
      </c>
      <c r="J679" s="10">
        <v>1</v>
      </c>
      <c r="K679" s="10" t="s">
        <v>508</v>
      </c>
      <c r="L679" s="10" t="s">
        <v>509</v>
      </c>
      <c r="M679" s="10" t="s">
        <v>94</v>
      </c>
      <c r="N679" s="10" t="s">
        <v>559</v>
      </c>
      <c r="O679" s="9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</row>
    <row r="680" spans="1:78" ht="16.5" customHeight="1" x14ac:dyDescent="0.3">
      <c r="A680" t="s">
        <v>573</v>
      </c>
      <c r="B680" t="s">
        <v>877</v>
      </c>
      <c r="C680" t="s">
        <v>877</v>
      </c>
      <c r="D680" t="s">
        <v>877</v>
      </c>
      <c r="E680" t="s">
        <v>877</v>
      </c>
      <c r="F680" t="s">
        <v>877</v>
      </c>
      <c r="G680" s="5">
        <v>1494890</v>
      </c>
      <c r="H680" s="7" t="s">
        <v>560</v>
      </c>
      <c r="I680" s="5" t="s">
        <v>253</v>
      </c>
      <c r="J680" s="5">
        <v>1</v>
      </c>
      <c r="K680" s="5" t="s">
        <v>508</v>
      </c>
      <c r="L680" s="5" t="s">
        <v>509</v>
      </c>
      <c r="M680" s="5" t="s">
        <v>94</v>
      </c>
      <c r="N680" s="5" t="s">
        <v>559</v>
      </c>
      <c r="O680" s="4"/>
      <c r="P680" s="8">
        <f t="shared" ref="P680:P683" si="204">SUM(Q680,R680)</f>
        <v>59</v>
      </c>
      <c r="Q680" s="8">
        <f t="shared" ref="Q680:Q683" si="205">S680</f>
        <v>0</v>
      </c>
      <c r="R680" s="8">
        <f t="shared" ref="R680:R683" si="206">SUM(T680:BX680)</f>
        <v>59</v>
      </c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>
        <v>1</v>
      </c>
      <c r="AI680" s="8"/>
      <c r="AJ680" s="8"/>
      <c r="AK680" s="8">
        <v>3</v>
      </c>
      <c r="AL680" s="8"/>
      <c r="AM680" s="8"/>
      <c r="AN680" s="8">
        <v>8</v>
      </c>
      <c r="AO680" s="8"/>
      <c r="AP680" s="8"/>
      <c r="AQ680" s="8">
        <v>5</v>
      </c>
      <c r="AR680" s="8"/>
      <c r="AS680" s="8"/>
      <c r="AT680" s="8"/>
      <c r="AU680" s="8"/>
      <c r="AV680" s="8"/>
      <c r="AW680" s="8">
        <v>30</v>
      </c>
      <c r="AX680" s="8"/>
      <c r="AY680" s="8"/>
      <c r="AZ680" s="8">
        <v>5</v>
      </c>
      <c r="BA680" s="8"/>
      <c r="BB680" s="8"/>
      <c r="BC680" s="8">
        <v>1</v>
      </c>
      <c r="BD680" s="8"/>
      <c r="BE680" s="8"/>
      <c r="BF680" s="8"/>
      <c r="BG680" s="8"/>
      <c r="BH680" s="8">
        <v>4</v>
      </c>
      <c r="BI680" s="8"/>
      <c r="BJ680" s="8"/>
      <c r="BK680" s="8"/>
      <c r="BL680" s="8"/>
      <c r="BM680" s="8"/>
      <c r="BN680" s="8"/>
      <c r="BO680" s="8">
        <v>1</v>
      </c>
      <c r="BP680" s="8"/>
      <c r="BQ680" s="8"/>
      <c r="BR680" s="8"/>
      <c r="BS680" s="8"/>
      <c r="BT680" s="8"/>
      <c r="BU680" s="8">
        <v>1</v>
      </c>
      <c r="BV680" s="8"/>
      <c r="BW680" s="8"/>
      <c r="BX680" s="8"/>
      <c r="BZ680" t="s">
        <v>565</v>
      </c>
    </row>
    <row r="681" spans="1:78" ht="16.5" customHeight="1" x14ac:dyDescent="0.3">
      <c r="A681" t="s">
        <v>573</v>
      </c>
      <c r="B681" t="s">
        <v>877</v>
      </c>
      <c r="C681" t="s">
        <v>877</v>
      </c>
      <c r="D681" t="s">
        <v>877</v>
      </c>
      <c r="E681" t="s">
        <v>877</v>
      </c>
      <c r="F681" t="s">
        <v>878</v>
      </c>
      <c r="G681" s="5">
        <v>1494909</v>
      </c>
      <c r="H681" s="7" t="s">
        <v>561</v>
      </c>
      <c r="I681" s="5" t="s">
        <v>253</v>
      </c>
      <c r="J681" s="5">
        <v>1</v>
      </c>
      <c r="K681" s="5" t="s">
        <v>102</v>
      </c>
      <c r="L681" s="5" t="s">
        <v>109</v>
      </c>
      <c r="M681" s="5" t="s">
        <v>94</v>
      </c>
      <c r="N681" s="5" t="s">
        <v>562</v>
      </c>
      <c r="O681" s="4"/>
      <c r="P681" s="8">
        <f t="shared" si="204"/>
        <v>0</v>
      </c>
      <c r="Q681" s="8">
        <f t="shared" si="205"/>
        <v>0</v>
      </c>
      <c r="R681" s="8">
        <f t="shared" si="206"/>
        <v>0</v>
      </c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Z681" t="s">
        <v>565</v>
      </c>
    </row>
    <row r="682" spans="1:78" ht="16.5" customHeight="1" x14ac:dyDescent="0.3">
      <c r="A682" t="s">
        <v>573</v>
      </c>
      <c r="B682" t="s">
        <v>877</v>
      </c>
      <c r="C682" t="s">
        <v>877</v>
      </c>
      <c r="D682" t="s">
        <v>877</v>
      </c>
      <c r="E682" t="s">
        <v>877</v>
      </c>
      <c r="F682" t="s">
        <v>879</v>
      </c>
      <c r="G682" s="5">
        <v>1494910</v>
      </c>
      <c r="H682" s="7" t="s">
        <v>563</v>
      </c>
      <c r="I682" s="5" t="s">
        <v>253</v>
      </c>
      <c r="J682" s="5">
        <v>1</v>
      </c>
      <c r="K682" s="5" t="s">
        <v>102</v>
      </c>
      <c r="L682" s="5" t="s">
        <v>109</v>
      </c>
      <c r="M682" s="5" t="s">
        <v>94</v>
      </c>
      <c r="N682" s="5" t="s">
        <v>562</v>
      </c>
      <c r="O682" s="4"/>
      <c r="P682" s="8">
        <f t="shared" si="204"/>
        <v>0</v>
      </c>
      <c r="Q682" s="8">
        <f t="shared" si="205"/>
        <v>0</v>
      </c>
      <c r="R682" s="8">
        <f t="shared" si="206"/>
        <v>0</v>
      </c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Z682" t="s">
        <v>565</v>
      </c>
    </row>
    <row r="683" spans="1:78" ht="16.5" customHeight="1" x14ac:dyDescent="0.3">
      <c r="A683" t="s">
        <v>573</v>
      </c>
      <c r="B683" t="s">
        <v>877</v>
      </c>
      <c r="C683" t="s">
        <v>877</v>
      </c>
      <c r="D683" t="s">
        <v>877</v>
      </c>
      <c r="E683" t="s">
        <v>877</v>
      </c>
      <c r="F683" t="s">
        <v>880</v>
      </c>
      <c r="G683" s="5">
        <v>1494911</v>
      </c>
      <c r="H683" s="7" t="s">
        <v>564</v>
      </c>
      <c r="I683" s="5" t="s">
        <v>253</v>
      </c>
      <c r="J683" s="5">
        <v>1</v>
      </c>
      <c r="K683" s="5" t="s">
        <v>102</v>
      </c>
      <c r="L683" s="5" t="s">
        <v>109</v>
      </c>
      <c r="M683" s="5" t="s">
        <v>94</v>
      </c>
      <c r="N683" s="5" t="s">
        <v>562</v>
      </c>
      <c r="O683" s="4"/>
      <c r="P683" s="8">
        <f t="shared" si="204"/>
        <v>0</v>
      </c>
      <c r="Q683" s="8">
        <f t="shared" si="205"/>
        <v>0</v>
      </c>
      <c r="R683" s="8">
        <f t="shared" si="206"/>
        <v>0</v>
      </c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Z683" t="s">
        <v>565</v>
      </c>
    </row>
  </sheetData>
  <autoFilter ref="A8:BZ8" xr:uid="{00000000-0009-0000-0000-000001000000}"/>
  <mergeCells count="16">
    <mergeCell ref="T6:BX6"/>
    <mergeCell ref="S7:S8"/>
    <mergeCell ref="G9:O9"/>
    <mergeCell ref="G10:O10"/>
    <mergeCell ref="M6:M8"/>
    <mergeCell ref="N6:N8"/>
    <mergeCell ref="O6:O8"/>
    <mergeCell ref="P6:P8"/>
    <mergeCell ref="Q6:Q8"/>
    <mergeCell ref="R6:R8"/>
    <mergeCell ref="G6:G8"/>
    <mergeCell ref="H6:H8"/>
    <mergeCell ref="I6:I8"/>
    <mergeCell ref="J6:J8"/>
    <mergeCell ref="K6:K8"/>
    <mergeCell ref="L6:L8"/>
  </mergeCells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(251230)정원배정표(본부)</vt:lpstr>
      <vt:lpstr>(251230)정원배정표(소속)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2026-02-09T07:31:12Z</dcterms:created>
  <dcterms:modified xsi:type="dcterms:W3CDTF">2026-02-09T10:56:05Z</dcterms:modified>
</cp:coreProperties>
</file>